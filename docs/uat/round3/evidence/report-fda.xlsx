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7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BOM Metadata" sheetId="2" state="visible" r:id="rId2"/>
    <sheet xmlns:r="http://schemas.openxmlformats.org/officeDocument/2006/relationships" name="SBOM Components" sheetId="3" state="visible" r:id="rId3"/>
    <sheet xmlns:r="http://schemas.openxmlformats.org/officeDocument/2006/relationships" name="Environment &amp; 3rd-Party Deps" sheetId="4" state="visible" r:id="rId4"/>
    <sheet xmlns:r="http://schemas.openxmlformats.org/officeDocument/2006/relationships" name="Vulnerabilities &amp; VEX" sheetId="5" state="visible" r:id="rId5"/>
    <sheet xmlns:r="http://schemas.openxmlformats.org/officeDocument/2006/relationships" name="Lifecycle &amp; Support Plan" sheetId="6" state="visible" r:id="rId6"/>
    <sheet xmlns:r="http://schemas.openxmlformats.org/officeDocument/2006/relationships" name="Supplier &amp; Security Contacts" sheetId="7" state="visible" r:id="rId7"/>
    <sheet xmlns:r="http://schemas.openxmlformats.org/officeDocument/2006/relationships" name="FDA Compliance Dashboard" sheetId="8" state="visible" r:id="rId8"/>
  </sheets>
  <definedNames/>
  <calcPr calcId="191028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yyyy-mm-dd hh:mm"/>
    <numFmt numFmtId="167" formatCode="yyyy-mm-dd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5"/>
    </font>
    <font>
      <name val="Arial"/>
      <charset val="1"/>
      <i val="1"/>
      <color rgb="FF999999"/>
      <sz val="8"/>
    </font>
    <font>
      <name val="Arial"/>
      <charset val="1"/>
      <i val="1"/>
      <color rgb="FF7F6000"/>
      <sz val="10"/>
    </font>
    <font>
      <name val="Arial"/>
      <charset val="1"/>
      <color rgb="FF000000"/>
      <sz val="10"/>
    </font>
    <font>
      <name val="Arial"/>
      <charset val="1"/>
      <i val="1"/>
      <color rgb="FF666666"/>
      <sz val="9"/>
    </font>
  </fonts>
  <fills count="8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6" borderId="0" pivotButton="0" quotePrefix="0" xfId="0"/>
    <xf numFmtId="0" fontId="8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3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0" borderId="0" pivotButton="0" quotePrefix="0" xfId="0"/>
    <xf numFmtId="166" fontId="2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49"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006100"/>
        <sz val="1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8"/>
  <sheetViews>
    <sheetView showGridLines="0" topLeftCell="A22" zoomScaleNormal="100" workbookViewId="0">
      <selection activeCell="B23" sqref="B23"/>
    </sheetView>
  </sheetViews>
  <sheetFormatPr baseColWidth="8" defaultColWidth="8.5703125" defaultRowHeight="14.45"/>
  <cols>
    <col width="3" customWidth="1" min="1" max="1"/>
    <col width="30" customWidth="1" min="2" max="2"/>
    <col width="100" customWidth="1" min="3" max="3"/>
  </cols>
  <sheetData>
    <row r="2" ht="20.1" customHeight="1">
      <c r="B2" s="24" t="inlineStr">
        <is>
          <t>Software Bill of Materials (SBOM) — FDA 510(k) / Premarket Template (Enhanced Edition)</t>
        </is>
      </c>
    </row>
    <row r="3" ht="48" customHeight="1">
      <c r="B3" s="22" t="inlineStr">
        <is>
          <t>Aligned with FDA guidance “Cybersecurity in Medical Devices: Quality Management System Considerations and Content of Premarket Submissions” (issued Feb 3, 2026), Section 524B of the FD&amp;C Act, the NTIA Minimum Elements for an SBOM, and NIST SP 800-218 (SSDF). This edition adds the fields most commonly requested by FDA reviewers beyond the NTIA baseline, plus a self-checking compliance dashboard.</t>
        </is>
      </c>
    </row>
    <row r="5">
      <c r="B5" s="19" t="inlineStr">
        <is>
          <t xml:space="preserve">  IMPORTANT — Format of the Official Submission</t>
        </is>
      </c>
    </row>
    <row r="6" ht="55.5" customHeight="1">
      <c r="B6" s="21" t="inlineStr">
        <is>
          <t>FDA requires a MACHINE-READABLE SBOM for cyber devices (industry-accepted formats such as CycloneDX or SPDX) in the eSTAR cybersecurity section of a 510(k). This Excel workbook is a human-readable WORKING / MANAGEMENT template and review companion — use it to assemble, track and review your component data, then generate the machine-readable SBOM your build tooling produces. It does not by itself replace the machine-readable file in the submission.</t>
        </is>
      </c>
    </row>
    <row r="8">
      <c r="B8" s="19" t="inlineStr">
        <is>
          <t xml:space="preserve">  What's in this workbook</t>
        </is>
      </c>
    </row>
    <row r="9" ht="43.5" customHeight="1">
      <c r="B9" s="3" t="inlineStr">
        <is>
          <t>SBOM Metadata</t>
        </is>
      </c>
      <c r="C9" s="20" t="inlineStr">
        <is>
          <t>Device, submission, and SBOM document-level data — including the NTIA document-level elements (Author, Timestamp), manufacturer security/CVD contact, sign-off, and an Auto Summary that pulls live counts from the other tabs.</t>
        </is>
      </c>
    </row>
    <row r="10" ht="43.5" customHeight="1">
      <c r="B10" s="3" t="inlineStr">
        <is>
          <t>SBOM Components</t>
        </is>
      </c>
      <c r="C10" s="20" t="inlineStr">
        <is>
          <t>The core component inventory: NTIA minimum elements, structured dependency classification, FDA risk-based prioritization fields (criticality, safety relevance, network exposure, authentication dependency, internet-facing), FDA lifecycle elements (support level, EOS/EOL with auto-calculated flags), and supply-chain integrity fields (hash, signature status, build/provenance ID).</t>
        </is>
      </c>
    </row>
    <row r="11" ht="43.5" customHeight="1">
      <c r="B11" s="3" t="inlineStr">
        <is>
          <t>Environment &amp; Third-Party Dependencies</t>
        </is>
      </c>
      <c r="C11" s="20" t="inlineStr">
        <is>
          <t>Operating system, container base image, embedded firmware, and third-party/cloud service dependencies — categories that sit outside the application component tree but are still part of the device's attack surface.</t>
        </is>
      </c>
    </row>
    <row r="12" ht="43.5" customHeight="1">
      <c r="B12" s="3" t="inlineStr">
        <is>
          <t>Vulnerabilities &amp; VEX</t>
        </is>
      </c>
      <c r="C12" s="20" t="inlineStr">
        <is>
          <t>Per-component known vulnerabilities with CVSS (version, base score, vector), EPSS score, CISA KEV status, VEX status and justification, patient-safety/clinical impact, exploitability, and a remediation plan with owner and target date.</t>
        </is>
      </c>
    </row>
    <row r="13" ht="43.5" customHeight="1">
      <c r="B13" s="3" t="inlineStr">
        <is>
          <t>Lifecycle &amp; Support Plan</t>
        </is>
      </c>
      <c r="C13" s="20" t="inlineStr">
        <is>
          <t>Obsolescence / end-of-support planning for components approaching or past EOS/EOL — risk, mitigation, compensating controls, verification method, owner and action dates.</t>
        </is>
      </c>
    </row>
    <row r="14" ht="43.5" customHeight="1">
      <c r="B14" s="3" t="inlineStr">
        <is>
          <t>Supplier &amp; Security Contact Registry</t>
        </is>
      </c>
      <c r="C14" s="20" t="inlineStr">
        <is>
          <t>One row per supplier/manufacturer with a security (PSIRT) contact and coordinated vulnerability disclosure (CVD) policy link — supports Sec. 524B's CVD and supply-chain transparency expectations.</t>
        </is>
      </c>
    </row>
    <row r="15" ht="43.5" customHeight="1">
      <c r="B15" s="3" t="inlineStr">
        <is>
          <t>FDA Compliance Dashboard</t>
        </is>
      </c>
      <c r="C15" s="20" t="inlineStr">
        <is>
          <t>Self-checking traceability matrix: every NTIA/FDA element mapped to its location in this workbook, with a live completeness percentage computed from your data, plus a composite readiness indicator.</t>
        </is>
      </c>
    </row>
    <row r="17">
      <c r="B17" s="19" t="inlineStr">
        <is>
          <t xml:space="preserve">  Required / recommended SBOM fields — and where each lives</t>
        </is>
      </c>
    </row>
    <row r="18">
      <c r="B18" s="4" t="inlineStr">
        <is>
          <t>Requirement</t>
        </is>
      </c>
      <c r="C18" s="4" t="inlineStr">
        <is>
          <t>Source / Location in this workbook</t>
        </is>
      </c>
    </row>
    <row r="19" ht="30" customHeight="1">
      <c r="B19" s="20" t="inlineStr">
        <is>
          <t>Supplier Name</t>
        </is>
      </c>
      <c r="C19" s="20" t="inlineStr">
        <is>
          <t>NTIA min. element — SBOM Components, col. ‘Supplier / Legal Entity Name’</t>
        </is>
      </c>
    </row>
    <row r="20" ht="30" customHeight="1">
      <c r="B20" s="20" t="inlineStr">
        <is>
          <t>Component Name</t>
        </is>
      </c>
      <c r="C20" s="20" t="inlineStr">
        <is>
          <t>NTIA min. element — SBOM Components, col. ‘Component Name’</t>
        </is>
      </c>
    </row>
    <row r="21" ht="30" customHeight="1">
      <c r="B21" s="20" t="inlineStr">
        <is>
          <t>Version of the Component</t>
        </is>
      </c>
      <c r="C21" s="20" t="inlineStr">
        <is>
          <t>NTIA min. element — SBOM Components, col. ‘Version’</t>
        </is>
      </c>
    </row>
    <row r="22" ht="30" customHeight="1">
      <c r="B22" s="20" t="inlineStr">
        <is>
          <t>Other Unique Identifiers</t>
        </is>
      </c>
      <c r="C22" s="20" t="inlineStr">
        <is>
          <t>NTIA min. element — SBOM Components, cols. ‘Unique ID Type’ + ‘Unique ID Value’ (CPE / PURL / SWID)</t>
        </is>
      </c>
    </row>
    <row r="23" ht="30" customHeight="1">
      <c r="B23" s="20" t="inlineStr">
        <is>
          <t>Dependency Relationship</t>
        </is>
      </c>
      <c r="C23" s="20" t="inlineStr">
        <is>
          <t>NTIA min. element — SBOM Components, cols. ‘Dependency Type’, ‘Parent / Depends-On Component’, ‘Dependency Depth’ (structured, not free text)</t>
        </is>
      </c>
    </row>
    <row r="24" ht="30" customHeight="1">
      <c r="B24" s="20" t="inlineStr">
        <is>
          <t>Author of SBOM Data</t>
        </is>
      </c>
      <c r="C24" s="20" t="inlineStr">
        <is>
          <t>NTIA min. element (document-level) — SBOM Metadata, ‘Author Name / Organization / Role / Email’</t>
        </is>
      </c>
    </row>
    <row r="25" ht="30" customHeight="1">
      <c r="B25" s="20" t="inlineStr">
        <is>
          <t>Timestamp</t>
        </is>
      </c>
      <c r="C25" s="20" t="inlineStr">
        <is>
          <t>NTIA min. element (document-level) — SBOM Metadata, ‘SBOM Timestamp’</t>
        </is>
      </c>
    </row>
    <row r="26" ht="30" customHeight="1">
      <c r="B26" s="20" t="inlineStr">
        <is>
          <t>Level of support</t>
        </is>
      </c>
      <c r="C26" s="20" t="inlineStr">
        <is>
          <t>FDA additional element (Sec. VII.C.3) — SBOM Components, col. ‘Level of Support’</t>
        </is>
      </c>
    </row>
    <row r="27" ht="30" customHeight="1">
      <c r="B27" s="20" t="inlineStr">
        <is>
          <t>Component end-of-support (EOS) date</t>
        </is>
      </c>
      <c r="C27" s="20" t="inlineStr">
        <is>
          <t>FDA additional element (Sec. VII.C.3) — SBOM Components, col. ‘End-of-Support (EOS) Date’ (auto-flagged)</t>
        </is>
      </c>
    </row>
    <row r="28" ht="30" customHeight="1">
      <c r="B28" s="20" t="inlineStr">
        <is>
          <t>End-of-life (EOL) date</t>
        </is>
      </c>
      <c r="C28" s="20" t="inlineStr">
        <is>
          <t>SBOM Components, col. ‘End-of-Life (EOL) Date’</t>
        </is>
      </c>
    </row>
    <row r="29" ht="30" customHeight="1">
      <c r="B29" s="20" t="inlineStr">
        <is>
          <t>All known vulnerabilities</t>
        </is>
      </c>
      <c r="C29" s="20" t="inlineStr">
        <is>
          <t>FDA premarket expectation — Vulnerabilities &amp; VEX tab</t>
        </is>
      </c>
    </row>
    <row r="30" ht="30" customHeight="1">
      <c r="B30" s="20" t="inlineStr">
        <is>
          <t>Vulnerability remediation status / VEX</t>
        </is>
      </c>
      <c r="C30" s="20" t="inlineStr">
        <is>
          <t>FDA premarket expectation — Vulnerabilities &amp; VEX, cols. ‘VEX Status’, ‘VEX Justification’, ‘Status’, ‘Target / Resolution Date’</t>
        </is>
      </c>
    </row>
    <row r="31" ht="30" customHeight="1">
      <c r="B31" s="20" t="inlineStr">
        <is>
          <t>Risk-based prioritization inputs</t>
        </is>
      </c>
      <c r="C31" s="20" t="inlineStr">
        <is>
          <t>FDA premarket expectation — SBOM Components, cols. ‘Criticality’, ‘Safety Relevance’, ‘Network Exposure’, ‘Authentication Dependency’, ‘Internet-Facing’</t>
        </is>
      </c>
    </row>
    <row r="32" ht="30" customHeight="1">
      <c r="B32" s="20" t="inlineStr">
        <is>
          <t>Software supply-chain integrity</t>
        </is>
      </c>
      <c r="C32" s="20" t="inlineStr">
        <is>
          <t>SBOM Components, cols. ‘Component Hash / Checksum’, ‘Cryptographic Signature Status’, ‘Build Environment / Provenance ID’</t>
        </is>
      </c>
    </row>
    <row r="33" ht="30" customHeight="1">
      <c r="B33" s="20" t="inlineStr">
        <is>
          <t>Coordinated vulnerability disclosure / supplier contact</t>
        </is>
      </c>
      <c r="C33" s="20" t="inlineStr">
        <is>
          <t>Supplier &amp; Security Contact Registry tab; SBOM Metadata, ‘Manufacturer Security Contact / CVD’ section</t>
        </is>
      </c>
    </row>
    <row r="34" ht="30" customHeight="1">
      <c r="B34" s="20" t="inlineStr">
        <is>
          <t>OS / container / firmware / third-party service dependencies</t>
        </is>
      </c>
      <c r="C34" s="20" t="inlineStr">
        <is>
          <t>Environment &amp; Third-Party Dependencies tab</t>
        </is>
      </c>
    </row>
    <row r="36">
      <c r="B36" s="19" t="inlineStr">
        <is>
          <t xml:space="preserve">  How to use</t>
        </is>
      </c>
    </row>
    <row r="37" ht="27.75" customHeight="1">
      <c r="B37" s="20" t="inlineStr">
        <is>
          <t>1. Fill the SBOM Metadata tab first (device, submission, SBOM author/timestamp, manufacturer security contact).</t>
        </is>
      </c>
    </row>
    <row r="38" ht="27.75" customHeight="1">
      <c r="B38" s="20" t="inlineStr">
        <is>
          <t>2. Enter one row per component on the SBOM Components tab. The row shaded amber is an EXAMPLE — overwrite or delete it.</t>
        </is>
      </c>
    </row>
    <row r="39" ht="27.75" customHeight="1">
      <c r="B39" s="20" t="inlineStr">
        <is>
          <t>3. Use the drop-downs (Unique ID Type, Dependency Type, Component Type, Origin, Level of Support, Criticality, Network Exposure, VEX Status, etc.) for consistent, filterable values.</t>
        </is>
      </c>
    </row>
    <row r="40" ht="27.75" customHeight="1">
      <c r="B40" s="20" t="inlineStr">
        <is>
          <t>4. Enter EOS/EOL as real dates (YYYY-MM-DD). ‘Days to EOS’ and ‘Lifecycle Flag’ calculate automatically and turn red when a component is past support, amber within 12 months.</t>
        </is>
      </c>
    </row>
    <row r="41" ht="27.75" customHeight="1">
      <c r="B41" s="20" t="inlineStr">
        <is>
          <t>5. Log every known vulnerability on the Vulnerabilities &amp; VEX tab; set a real VEX status (not left at ‘Under Investigation’ indefinitely) with justification, patient-safety impact, and a target date.</t>
        </is>
      </c>
    </row>
    <row r="42" ht="27.75" customHeight="1">
      <c r="B42" s="20" t="inlineStr">
        <is>
          <t>6. For any component near/past EOS, or with an unverified support status, complete a row on the Lifecycle &amp; Support Plan tab.</t>
        </is>
      </c>
    </row>
    <row r="43" ht="27.75" customHeight="1">
      <c r="B43" s="20" t="inlineStr">
        <is>
          <t>7. Record every OS, container, firmware, or third-party service dependency on the Environment &amp; Third-Party Dependencies tab — these are commonly missed but are part of the device's attack surface.</t>
        </is>
      </c>
    </row>
    <row r="44" ht="27.75" customHeight="1">
      <c r="B44" s="20" t="inlineStr">
        <is>
          <t>8. Add each supplier's security contact and CVD policy link to the Supplier &amp; Security Contact Registry.</t>
        </is>
      </c>
    </row>
    <row r="45" ht="27.75" customHeight="1">
      <c r="B45" s="20" t="inlineStr">
        <is>
          <t>9. Check the FDA Compliance Dashboard tab before submission — it computes live completeness percentages from your data and flags anything still short of ‘Complete’.</t>
        </is>
      </c>
    </row>
    <row r="46" ht="27.75" customHeight="1">
      <c r="B46" s="20" t="inlineStr">
        <is>
          <t>10. Need more rows than pre-filled? Copy the last data row down — formulas, formatting, and validation carry over.</t>
        </is>
      </c>
    </row>
    <row r="48" ht="39.75" customHeight="1">
      <c r="B48" s="21" t="inlineStr">
        <is>
          <t>Disclaimer: This template is a working aid, not regulatory or legal advice. FDA guidance is non-binding and evolves — verify current guidance and eSTAR requirements and consult your regulatory affairs function before submission.</t>
        </is>
      </c>
    </row>
  </sheetData>
  <mergeCells count="18">
    <mergeCell ref="B39:C39"/>
    <mergeCell ref="B6:C6"/>
    <mergeCell ref="B38:C38"/>
    <mergeCell ref="B48:C48"/>
    <mergeCell ref="B2:C2"/>
    <mergeCell ref="B44:C44"/>
    <mergeCell ref="B3:C3"/>
    <mergeCell ref="B5:C5"/>
    <mergeCell ref="B37:C37"/>
    <mergeCell ref="B45:C45"/>
    <mergeCell ref="B46:C46"/>
    <mergeCell ref="B42:C42"/>
    <mergeCell ref="B36:C36"/>
    <mergeCell ref="B40:C40"/>
    <mergeCell ref="B41:C41"/>
    <mergeCell ref="B8:C8"/>
    <mergeCell ref="B17:C17"/>
    <mergeCell ref="B43:C43"/>
  </mergeCell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7"/>
  <sheetViews>
    <sheetView showGridLines="0" topLeftCell="A32" zoomScaleNormal="100" workbookViewId="0">
      <selection activeCell="C37" sqref="C37"/>
    </sheetView>
  </sheetViews>
  <sheetFormatPr baseColWidth="8" defaultColWidth="8.5703125" defaultRowHeight="14.45"/>
  <cols>
    <col width="3" customWidth="1" min="1" max="1"/>
    <col width="42" customWidth="1" min="2" max="2"/>
    <col width="62" customWidth="1" min="3" max="3"/>
  </cols>
  <sheetData>
    <row r="2" ht="18.95" customHeight="1">
      <c r="B2" s="25" t="inlineStr">
        <is>
          <t>SBOM Metadata</t>
        </is>
      </c>
    </row>
    <row r="4">
      <c r="B4" s="19" t="inlineStr">
        <is>
          <t xml:space="preserve">  Device &amp; Submission</t>
        </is>
      </c>
    </row>
    <row r="5">
      <c r="B5" s="5" t="inlineStr">
        <is>
          <t>Device Name</t>
        </is>
      </c>
      <c r="C5" s="6" t="inlineStr">
        <is>
          <t>Synthetic UAT Device</t>
        </is>
      </c>
    </row>
    <row r="6">
      <c r="B6" s="5" t="inlineStr">
        <is>
          <t>Device Model / Catalog Number</t>
        </is>
      </c>
      <c r="C6" s="6" t="n"/>
    </row>
    <row r="7">
      <c r="B7" s="5" t="inlineStr">
        <is>
          <t>Manufacturer / Sponsor (Legal Entity Name)</t>
        </is>
      </c>
      <c r="C7" s="6" t="inlineStr">
        <is>
          <t>Round3 Local Test</t>
        </is>
      </c>
    </row>
    <row r="8">
      <c r="B8" s="5" t="inlineStr">
        <is>
          <t>Submission Type</t>
        </is>
      </c>
      <c r="C8" s="6" t="inlineStr">
        <is>
          <t>510(k)</t>
        </is>
      </c>
    </row>
    <row r="9">
      <c r="B9" s="5" t="inlineStr">
        <is>
          <t>Submission (e.g., 510(k)) Number</t>
        </is>
      </c>
      <c r="C9" s="6" t="n"/>
    </row>
    <row r="10">
      <c r="B10" s="5" t="inlineStr">
        <is>
          <t>Product Code / Regulation No.</t>
        </is>
      </c>
      <c r="C10" s="6" t="n"/>
    </row>
    <row r="11">
      <c r="B11" s="5" t="inlineStr">
        <is>
          <t>Device Software Version</t>
        </is>
      </c>
      <c r="C11" s="6" t="inlineStr">
        <is>
          <t>1.0</t>
        </is>
      </c>
    </row>
    <row r="12">
      <c r="B12" s="5" t="inlineStr">
        <is>
          <t>Top-Level / Primary Component</t>
        </is>
      </c>
      <c r="C12" s="6" t="n"/>
    </row>
    <row r="14">
      <c r="B14" s="19" t="inlineStr">
        <is>
          <t xml:space="preserve">  SBOM Document (NTIA document-level elements)</t>
        </is>
      </c>
    </row>
    <row r="15">
      <c r="B15" s="5" t="inlineStr">
        <is>
          <t>Author Name (Individual)  [NTIA]</t>
        </is>
      </c>
      <c r="C15" s="6" t="inlineStr">
        <is>
          <t>UAT</t>
        </is>
      </c>
    </row>
    <row r="16">
      <c r="B16" s="5" t="inlineStr">
        <is>
          <t>Author Organization  [NTIA]</t>
        </is>
      </c>
      <c r="C16" s="6" t="n"/>
    </row>
    <row r="17">
      <c r="B17" s="5" t="inlineStr">
        <is>
          <t>Author Role / Title</t>
        </is>
      </c>
      <c r="C17" s="6" t="n"/>
    </row>
    <row r="18">
      <c r="B18" s="5" t="inlineStr">
        <is>
          <t>Author Email</t>
        </is>
      </c>
      <c r="C18" s="6" t="n"/>
    </row>
    <row r="19">
      <c r="B19" s="5" t="inlineStr">
        <is>
          <t>SBOM Timestamp  [NTIA]</t>
        </is>
      </c>
      <c r="C19" s="26" t="n">
        <v>46315.38633101852</v>
      </c>
    </row>
    <row r="20">
      <c r="B20" s="5" t="inlineStr">
        <is>
          <t>SBOM Version</t>
        </is>
      </c>
      <c r="C20" s="6" t="n"/>
    </row>
    <row r="21" ht="26.1" customHeight="1">
      <c r="B21" s="5" t="inlineStr">
        <is>
          <t>SBOM Format(s) for Submission (e.g., CycloneDX / SPDX)</t>
        </is>
      </c>
      <c r="C21" s="6" t="inlineStr">
        <is>
          <t>CycloneDX / SPDX (machine-readable) + this workbook</t>
        </is>
      </c>
    </row>
    <row r="22">
      <c r="B22" s="5" t="inlineStr">
        <is>
          <t>SBOM Generation Tool &amp; Version</t>
        </is>
      </c>
      <c r="C22" s="6" t="n"/>
    </row>
    <row r="23">
      <c r="B23" s="5" t="inlineStr">
        <is>
          <t>Primary Data Source</t>
        </is>
      </c>
      <c r="C23" s="6" t="n"/>
    </row>
    <row r="25">
      <c r="B25" s="19" t="inlineStr">
        <is>
          <t xml:space="preserve">  Manufacturer Security Contact / Coordinated Vulnerability Disclosure</t>
        </is>
      </c>
    </row>
    <row r="26">
      <c r="B26" s="5" t="inlineStr">
        <is>
          <t>Manufacturer PSIRT / Security Contact Email</t>
        </is>
      </c>
      <c r="C26" s="6" t="n"/>
    </row>
    <row r="27" ht="26.1" customHeight="1">
      <c r="B27" s="5" t="inlineStr">
        <is>
          <t>Coordinated Vulnerability Disclosure (CVD) Policy URL</t>
        </is>
      </c>
      <c r="C27" s="6" t="n"/>
    </row>
    <row r="28" ht="26.1" customHeight="1">
      <c r="B28" s="5" t="inlineStr">
        <is>
          <t>Vulnerability Intake Method (e.g., web form, email, HackerOne)</t>
        </is>
      </c>
      <c r="C28" s="6" t="n"/>
    </row>
    <row r="30">
      <c r="B30" s="19" t="inlineStr">
        <is>
          <t xml:space="preserve">  Sign-off</t>
        </is>
      </c>
    </row>
    <row r="31">
      <c r="B31" s="5" t="inlineStr">
        <is>
          <t>Prepared By</t>
        </is>
      </c>
      <c r="C31" s="6" t="inlineStr">
        <is>
          <t>UAT</t>
        </is>
      </c>
    </row>
    <row r="32">
      <c r="B32" s="5" t="inlineStr">
        <is>
          <t>Date Prepared</t>
        </is>
      </c>
      <c r="C32" s="27" t="n"/>
    </row>
    <row r="33">
      <c r="B33" s="5" t="inlineStr">
        <is>
          <t>Reviewed / Approved By</t>
        </is>
      </c>
      <c r="C33" s="6" t="n"/>
    </row>
    <row r="34">
      <c r="B34" s="5" t="inlineStr">
        <is>
          <t>Date Approved</t>
        </is>
      </c>
      <c r="C34" s="27" t="n"/>
    </row>
    <row r="36">
      <c r="B36" s="19" t="inlineStr">
        <is>
          <t xml:space="preserve">  Auto Summary (live — calculated from other tabs, do not edit)</t>
        </is>
      </c>
    </row>
    <row r="37">
      <c r="B37" s="5" t="inlineStr">
        <is>
          <t>Total components listed</t>
        </is>
      </c>
      <c r="C37" s="6">
        <f>'SBOM Components'!$AF$1</f>
        <v/>
      </c>
    </row>
    <row r="38">
      <c r="B38" s="5" t="inlineStr">
        <is>
          <t>Components PAST end-of-support</t>
        </is>
      </c>
      <c r="C38" s="6">
        <f>'SBOM Components'!$AF$2</f>
        <v/>
      </c>
    </row>
    <row r="39">
      <c r="B39" s="5" t="inlineStr">
        <is>
          <t>Components with EOS within 12 months</t>
        </is>
      </c>
      <c r="C39" s="6">
        <f>'SBOM Components'!$AF$3</f>
        <v/>
      </c>
    </row>
    <row r="40" ht="26.1" customHeight="1">
      <c r="B40" s="5" t="inlineStr">
        <is>
          <t>Components no longer maintained / abandoned / unknown support</t>
        </is>
      </c>
      <c r="C40" s="6">
        <f>'SBOM Components'!$AF$4</f>
        <v/>
      </c>
    </row>
    <row r="41">
      <c r="B41" s="5" t="inlineStr">
        <is>
          <t>Total vulnerabilities logged</t>
        </is>
      </c>
      <c r="C41" s="6">
        <f>'Vulnerabilities &amp; VEX'!$V$1</f>
        <v/>
      </c>
    </row>
    <row r="42">
      <c r="B42" s="5" t="inlineStr">
        <is>
          <t>Open Critical / High vulnerabilities</t>
        </is>
      </c>
      <c r="C42" s="6">
        <f>'Vulnerabilities &amp; VEX'!$V$2</f>
        <v/>
      </c>
    </row>
    <row r="43">
      <c r="B43" s="5" t="inlineStr">
        <is>
          <t>Vulnerabilities with no VEX justification yet</t>
        </is>
      </c>
      <c r="C43" s="6">
        <f>'Vulnerabilities &amp; VEX'!$V$3</f>
        <v/>
      </c>
    </row>
    <row r="45">
      <c r="B45" s="19" t="inlineStr">
        <is>
          <t xml:space="preserve">  FDA Readiness Snapshot  (full detail on 'FDA Compliance Dashboard' tab)</t>
        </is>
      </c>
    </row>
    <row r="46">
      <c r="B46" s="5" t="inlineStr">
        <is>
          <t>Composite FDA Readiness Score (0-100%)</t>
        </is>
      </c>
      <c r="C46" s="7">
        <f>'FDA Compliance Dashboard'!$C$4</f>
        <v/>
      </c>
    </row>
    <row r="47">
      <c r="B47" s="5" t="inlineStr">
        <is>
          <t>Readiness Status</t>
        </is>
      </c>
      <c r="C47" s="6">
        <f>'FDA Compliance Dashboard'!$D$4</f>
        <v/>
      </c>
    </row>
  </sheetData>
  <mergeCells count="7">
    <mergeCell ref="B30:C30"/>
    <mergeCell ref="B2:C2"/>
    <mergeCell ref="B25:C25"/>
    <mergeCell ref="B45:C45"/>
    <mergeCell ref="B36:C36"/>
    <mergeCell ref="B14:C14"/>
    <mergeCell ref="B4:C4"/>
  </mergeCell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0"/>
  <sheetViews>
    <sheetView showGridLines="0" tabSelected="1" zoomScaleNormal="100" workbookViewId="0">
      <pane xSplit="3" ySplit="2" topLeftCell="D3" activePane="bottomRight" state="frozen"/>
      <selection pane="bottomRight" activeCell="G3" sqref="G3:H3"/>
      <selection pane="bottomLeft" activeCell="A3" sqref="A3"/>
      <selection pane="topRight" activeCell="D1" sqref="D1"/>
    </sheetView>
  </sheetViews>
  <sheetFormatPr baseColWidth="8" defaultColWidth="8.5703125" defaultRowHeight="14.45"/>
  <cols>
    <col width="6" customWidth="1" min="1" max="1"/>
    <col width="22" customWidth="1" min="2" max="2"/>
    <col width="12" customWidth="1" min="3" max="3"/>
    <col width="24" customWidth="1" min="4" max="4"/>
    <col width="12" customWidth="1" min="5" max="5"/>
    <col width="30" customWidth="1" min="6" max="6"/>
    <col width="13" customWidth="1" min="7" max="7"/>
    <col width="26" customWidth="1" min="8" max="8"/>
    <col width="12" customWidth="1" min="9" max="9"/>
    <col width="16" customWidth="1" min="10" max="10"/>
    <col width="20" customWidth="1" min="11" max="11"/>
    <col width="16" customWidth="1" min="12" max="12"/>
    <col width="15" customWidth="1" min="13" max="14"/>
    <col width="14" customWidth="1" min="15" max="16"/>
    <col width="15" customWidth="1" min="17" max="18"/>
    <col width="18" customWidth="1" min="19" max="19"/>
    <col width="16" customWidth="1" min="20" max="21"/>
    <col width="11" customWidth="1" min="22" max="22"/>
    <col width="22" customWidth="1" min="23" max="23"/>
    <col width="30" customWidth="1" min="24" max="24"/>
    <col width="20" customWidth="1" min="25" max="25"/>
    <col width="24" customWidth="1" min="26" max="26"/>
    <col width="18" customWidth="1" min="27" max="27"/>
    <col width="20" customWidth="1" min="28" max="28"/>
    <col width="22" customWidth="1" min="29" max="29"/>
    <col width="30" customWidth="1" min="30" max="30"/>
  </cols>
  <sheetData>
    <row r="1" ht="30" customHeight="1">
      <c r="A1" s="23" t="inlineStr">
        <is>
          <t>NTIA Minimum Elements (Identification)</t>
        </is>
      </c>
      <c r="B1" s="28" t="n"/>
      <c r="C1" s="28" t="n"/>
      <c r="D1" s="28" t="n"/>
      <c r="E1" s="28" t="n"/>
      <c r="F1" s="29" t="n"/>
      <c r="G1" s="23" t="inlineStr">
        <is>
          <t>Dependency &amp; Classification</t>
        </is>
      </c>
      <c r="H1" s="28" t="n"/>
      <c r="I1" s="28" t="n"/>
      <c r="J1" s="28" t="n"/>
      <c r="K1" s="28" t="n"/>
      <c r="L1" s="29" t="n"/>
      <c r="M1" s="23" t="inlineStr">
        <is>
          <t>Risk &amp; Operational Classification (FDA Risk-Based Prioritization)</t>
        </is>
      </c>
      <c r="N1" s="28" t="n"/>
      <c r="O1" s="28" t="n"/>
      <c r="P1" s="28" t="n"/>
      <c r="Q1" s="28" t="n"/>
      <c r="R1" s="29" t="n"/>
      <c r="S1" s="23" t="inlineStr">
        <is>
          <t>FDA Lifecycle Elements (Sec. VII.C.3) — auto-calculated</t>
        </is>
      </c>
      <c r="T1" s="28" t="n"/>
      <c r="U1" s="28" t="n"/>
      <c r="V1" s="28" t="n"/>
      <c r="W1" s="29" t="n"/>
      <c r="X1" s="23" t="inlineStr">
        <is>
          <t>Vulnerabilities &amp; Patching</t>
        </is>
      </c>
      <c r="Y1" s="29" t="n"/>
      <c r="Z1" s="23" t="inlineStr">
        <is>
          <t>Supply-Chain Integrity &amp; Provenance</t>
        </is>
      </c>
      <c r="AA1" s="28" t="n"/>
      <c r="AB1" s="28" t="n"/>
      <c r="AC1" s="29" t="n"/>
      <c r="AD1" s="23" t="inlineStr">
        <is>
          <t>Notes</t>
        </is>
      </c>
      <c r="AE1" s="8" t="inlineStr">
        <is>
          <t>Total components (auto)</t>
        </is>
      </c>
      <c r="AF1" s="8">
        <f>COUNTA(B3:B500)</f>
        <v/>
      </c>
    </row>
    <row r="2" ht="45.75" customHeight="1">
      <c r="A2" s="4" t="inlineStr">
        <is>
          <t>#</t>
        </is>
      </c>
      <c r="B2" s="4" t="inlineStr">
        <is>
          <t>Component Name</t>
        </is>
      </c>
      <c r="C2" s="4" t="inlineStr">
        <is>
          <t>Version</t>
        </is>
      </c>
      <c r="D2" s="4" t="inlineStr">
        <is>
          <t>Supplier / Legal Entity Name</t>
        </is>
      </c>
      <c r="E2" s="4" t="inlineStr">
        <is>
          <t>Unique ID Type</t>
        </is>
      </c>
      <c r="F2" s="4" t="inlineStr">
        <is>
          <t>Unique ID Value</t>
        </is>
      </c>
      <c r="G2" s="4" t="inlineStr">
        <is>
          <t>Dependency Type</t>
        </is>
      </c>
      <c r="H2" s="4" t="inlineStr">
        <is>
          <t>Parent / Depends-On Component</t>
        </is>
      </c>
      <c r="I2" s="4" t="inlineStr">
        <is>
          <t>Dependency Depth</t>
        </is>
      </c>
      <c r="J2" s="4" t="inlineStr">
        <is>
          <t>Component Type</t>
        </is>
      </c>
      <c r="K2" s="4" t="inlineStr">
        <is>
          <t>Origin / Category</t>
        </is>
      </c>
      <c r="L2" s="4" t="inlineStr">
        <is>
          <t>License</t>
        </is>
      </c>
      <c r="M2" s="4" t="inlineStr">
        <is>
          <t>Runtime / Build-Time</t>
        </is>
      </c>
      <c r="N2" s="4" t="inlineStr">
        <is>
          <t>Criticality to Device Operation</t>
        </is>
      </c>
      <c r="O2" s="4" t="inlineStr">
        <is>
          <t>Safety Relevance</t>
        </is>
      </c>
      <c r="P2" s="4" t="inlineStr">
        <is>
          <t>Network Exposure</t>
        </is>
      </c>
      <c r="Q2" s="4" t="inlineStr">
        <is>
          <t>Authentication Dependency</t>
        </is>
      </c>
      <c r="R2" s="4" t="inlineStr">
        <is>
          <t>Internet-Facing</t>
        </is>
      </c>
      <c r="S2" s="4" t="inlineStr">
        <is>
          <t>Level of Support</t>
        </is>
      </c>
      <c r="T2" s="4" t="inlineStr">
        <is>
          <t>End-of-Support (EOS) Date</t>
        </is>
      </c>
      <c r="U2" s="4" t="inlineStr">
        <is>
          <t>End-of-Life (EOL) Date</t>
        </is>
      </c>
      <c r="V2" s="4" t="inlineStr">
        <is>
          <t>Days to EOS</t>
        </is>
      </c>
      <c r="W2" s="4" t="inlineStr">
        <is>
          <t>Lifecycle Flag</t>
        </is>
      </c>
      <c r="X2" s="4" t="inlineStr">
        <is>
          <t>Known Vulnerabilities (CVE/IDs)</t>
        </is>
      </c>
      <c r="Y2" s="4" t="inlineStr">
        <is>
          <t>Patch / Update Mechanism</t>
        </is>
      </c>
      <c r="Z2" s="4" t="inlineStr">
        <is>
          <t>Component Hash / Checksum (SHA-256)</t>
        </is>
      </c>
      <c r="AA2" s="4" t="inlineStr">
        <is>
          <t>Cryptographic Signature Status</t>
        </is>
      </c>
      <c r="AB2" s="4" t="inlineStr">
        <is>
          <t>Build Environment / Provenance ID</t>
        </is>
      </c>
      <c r="AC2" s="4" t="inlineStr">
        <is>
          <t>Supplier Security Contact (Email)</t>
        </is>
      </c>
      <c r="AD2" s="4" t="inlineStr">
        <is>
          <t>Notes / Justification</t>
        </is>
      </c>
      <c r="AE2" s="8" t="inlineStr">
        <is>
          <t>Past EOS (auto)</t>
        </is>
      </c>
      <c r="AF2" s="8">
        <f>COUNTIF(W3:W500,"*PAST EOS*")</f>
        <v/>
      </c>
    </row>
    <row r="3" ht="24" customHeight="1">
      <c r="A3" s="9" t="n">
        <v>1</v>
      </c>
      <c r="B3" s="9" t="inlineStr">
        <is>
          <t>lodash</t>
        </is>
      </c>
      <c r="C3" s="9" t="inlineStr">
        <is>
          <t>4.17.20</t>
        </is>
      </c>
      <c r="D3" s="9" t="inlineStr">
        <is>
          <t>UAT</t>
        </is>
      </c>
      <c r="E3" s="9" t="inlineStr">
        <is>
          <t>PURL</t>
        </is>
      </c>
      <c r="F3" s="9" t="inlineStr">
        <is>
          <t>pkg:npm/lodash@4.17.20</t>
        </is>
      </c>
      <c r="G3" s="9" t="inlineStr">
        <is>
          <t>Direct</t>
        </is>
      </c>
      <c r="H3" s="9" t="inlineStr">
        <is>
          <t>uat-gateway</t>
        </is>
      </c>
      <c r="I3" s="9" t="n">
        <v>1</v>
      </c>
      <c r="J3" s="9" t="inlineStr">
        <is>
          <t>Library</t>
        </is>
      </c>
      <c r="K3" s="9" t="inlineStr">
        <is>
          <t>Commercial (COTS)</t>
        </is>
      </c>
      <c r="L3" s="9" t="inlineStr"/>
      <c r="M3" s="9" t="n"/>
      <c r="N3" s="9" t="n"/>
      <c r="O3" s="9" t="n"/>
      <c r="P3" s="9" t="n"/>
      <c r="Q3" s="9" t="n"/>
      <c r="R3" s="9" t="n"/>
      <c r="S3" s="9" t="inlineStr">
        <is>
          <t>Unknown</t>
        </is>
      </c>
      <c r="T3" s="9" t="n"/>
      <c r="U3" s="9" t="n"/>
      <c r="V3" s="9">
        <f>IF(T3="","",T3-TODAY())</f>
        <v/>
      </c>
      <c r="W3" s="9">
        <f>IF(T3="","",IF(T3&lt;TODAY(),"PAST EOS — UNSUPPORTED",IF(T3-TODAY()&lt;=365,"EOS within 12 months","Supported")))</f>
        <v/>
      </c>
      <c r="X3" s="9" t="inlineStr">
        <is>
          <t>CVE-2020-28500, CVE-2021-23337, CVE-2025-13465, CVE-2026-2950, CVE-2026-4800</t>
        </is>
      </c>
      <c r="Y3" s="9" t="inlineStr">
        <is>
          <t>4.18.1</t>
        </is>
      </c>
      <c r="Z3" s="9" t="inlineStr"/>
      <c r="AA3" s="9" t="n"/>
      <c r="AB3" s="9" t="n"/>
      <c r="AC3" s="9" t="n"/>
      <c r="AD3" s="9" t="inlineStr">
        <is>
          <t>Source SBOM(s): UAT R3 1792486718006046000 SBOM 1; Required by: uat-gateway</t>
        </is>
      </c>
      <c r="AE3" s="8" t="n"/>
      <c r="AF3" s="8">
        <f>COUNTIF(W3:W500,"*within 12*")</f>
        <v/>
      </c>
    </row>
    <row r="4">
      <c r="A4" s="10" t="n">
        <v>2</v>
      </c>
      <c r="B4" s="10" t="inlineStr">
        <is>
          <t>uat-gateway</t>
        </is>
      </c>
      <c r="C4" s="10" t="inlineStr">
        <is>
          <t>1.0.0</t>
        </is>
      </c>
      <c r="D4" s="10" t="inlineStr">
        <is>
          <t>UAT</t>
        </is>
      </c>
      <c r="E4" s="10" t="inlineStr">
        <is>
          <t>PURL</t>
        </is>
      </c>
      <c r="F4" s="10" t="inlineStr">
        <is>
          <t>pkg:generic/uat-gateway@1.0.0</t>
        </is>
      </c>
      <c r="G4" s="10" t="inlineStr"/>
      <c r="H4" s="10" t="inlineStr"/>
      <c r="I4" s="10" t="n"/>
      <c r="J4" s="10" t="inlineStr">
        <is>
          <t>Application</t>
        </is>
      </c>
      <c r="K4" s="10" t="inlineStr">
        <is>
          <t>Commercial (COTS)</t>
        </is>
      </c>
      <c r="L4" s="10" t="inlineStr"/>
      <c r="M4" s="10" t="n"/>
      <c r="N4" s="10" t="n"/>
      <c r="O4" s="10" t="n"/>
      <c r="P4" s="10" t="n"/>
      <c r="Q4" s="10" t="n"/>
      <c r="R4" s="10" t="n"/>
      <c r="S4" s="10" t="inlineStr">
        <is>
          <t>Unknown</t>
        </is>
      </c>
      <c r="T4" s="10" t="n"/>
      <c r="U4" s="10" t="n"/>
      <c r="V4" s="10">
        <f>IF(T4="","",T4-TODAY())</f>
        <v/>
      </c>
      <c r="W4" s="10">
        <f>IF(T4="","",IF(T4&lt;TODAY(),"PAST EOS — UNSUPPORTED",IF(T4-TODAY()&lt;=365,"EOS within 12 months","Supported")))</f>
        <v/>
      </c>
      <c r="X4" s="10" t="inlineStr"/>
      <c r="Y4" s="10" t="inlineStr"/>
      <c r="Z4" s="10" t="inlineStr"/>
      <c r="AA4" s="10" t="n"/>
      <c r="AB4" s="10" t="n"/>
      <c r="AC4" s="10" t="n"/>
      <c r="AD4" s="10" t="inlineStr">
        <is>
          <t>Source SBOM(s): UAT R3 1792486718006046000 SBOM 1; Depends on: lodash</t>
        </is>
      </c>
      <c r="AE4" s="8" t="n"/>
      <c r="AF4" s="8">
        <f>COUNTIF(S3:S500,"No longer maintained")+COUNTIF(S3:S500,"Abandoned")+COUNTIF(S3:S500,"Unknown")</f>
        <v/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>
        <f>IF(T5="","",T5-TODAY())</f>
        <v/>
      </c>
      <c r="W5" s="10">
        <f>IF(T5="","",IF(T5&lt;TODAY(),"PAST EOS — UNSUPPORTED",IF(T5-TODAY()&lt;=365,"EOS within 12 months","Supported")))</f>
        <v/>
      </c>
      <c r="X5" s="10" t="n"/>
      <c r="Y5" s="10" t="n"/>
      <c r="Z5" s="10" t="n"/>
      <c r="AA5" s="10" t="n"/>
      <c r="AB5" s="10" t="n"/>
      <c r="AC5" s="10" t="n"/>
      <c r="AD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>
        <f>IF(T6="","",T6-TODAY())</f>
        <v/>
      </c>
      <c r="W6" s="10">
        <f>IF(T6="","",IF(T6&lt;TODAY(),"PAST EOS — UNSUPPORTED",IF(T6-TODAY()&lt;=365,"EOS within 12 months","Supported")))</f>
        <v/>
      </c>
      <c r="X6" s="10" t="n"/>
      <c r="Y6" s="10" t="n"/>
      <c r="Z6" s="10" t="n"/>
      <c r="AA6" s="10" t="n"/>
      <c r="AB6" s="10" t="n"/>
      <c r="AC6" s="10" t="n"/>
      <c r="AD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>
        <f>IF(T7="","",T7-TODAY())</f>
        <v/>
      </c>
      <c r="W7" s="10">
        <f>IF(T7="","",IF(T7&lt;TODAY(),"PAST EOS — UNSUPPORTED",IF(T7-TODAY()&lt;=365,"EOS within 12 months","Supported")))</f>
        <v/>
      </c>
      <c r="X7" s="10" t="n"/>
      <c r="Y7" s="10" t="n"/>
      <c r="Z7" s="10" t="n"/>
      <c r="AA7" s="10" t="n"/>
      <c r="AB7" s="10" t="n"/>
      <c r="AC7" s="10" t="n"/>
      <c r="AD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>
        <f>IF(T8="","",T8-TODAY())</f>
        <v/>
      </c>
      <c r="W8" s="10">
        <f>IF(T8="","",IF(T8&lt;TODAY(),"PAST EOS — UNSUPPORTED",IF(T8-TODAY()&lt;=365,"EOS within 12 months","Supported")))</f>
        <v/>
      </c>
      <c r="X8" s="10" t="n"/>
      <c r="Y8" s="10" t="n"/>
      <c r="Z8" s="10" t="n"/>
      <c r="AA8" s="10" t="n"/>
      <c r="AB8" s="10" t="n"/>
      <c r="AC8" s="10" t="n"/>
      <c r="AD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>
        <f>IF(T9="","",T9-TODAY())</f>
        <v/>
      </c>
      <c r="W9" s="10">
        <f>IF(T9="","",IF(T9&lt;TODAY(),"PAST EOS — UNSUPPORTED",IF(T9-TODAY()&lt;=365,"EOS within 12 months","Supported")))</f>
        <v/>
      </c>
      <c r="X9" s="10" t="n"/>
      <c r="Y9" s="10" t="n"/>
      <c r="Z9" s="10" t="n"/>
      <c r="AA9" s="10" t="n"/>
      <c r="AB9" s="10" t="n"/>
      <c r="AC9" s="10" t="n"/>
      <c r="AD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>
        <f>IF(T10="","",T10-TODAY())</f>
        <v/>
      </c>
      <c r="W10" s="10">
        <f>IF(T10="","",IF(T10&lt;TODAY(),"PAST EOS — UNSUPPORTED",IF(T10-TODAY()&lt;=365,"EOS within 12 months","Supported")))</f>
        <v/>
      </c>
      <c r="X10" s="10" t="n"/>
      <c r="Y10" s="10" t="n"/>
      <c r="Z10" s="10" t="n"/>
      <c r="AA10" s="10" t="n"/>
      <c r="AB10" s="10" t="n"/>
      <c r="AC10" s="10" t="n"/>
      <c r="AD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>
        <f>IF(T11="","",T11-TODAY())</f>
        <v/>
      </c>
      <c r="W11" s="10">
        <f>IF(T11="","",IF(T11&lt;TODAY(),"PAST EOS — UNSUPPORTED",IF(T11-TODAY()&lt;=365,"EOS within 12 months","Supported")))</f>
        <v/>
      </c>
      <c r="X11" s="10" t="n"/>
      <c r="Y11" s="10" t="n"/>
      <c r="Z11" s="10" t="n"/>
      <c r="AA11" s="10" t="n"/>
      <c r="AB11" s="10" t="n"/>
      <c r="AC11" s="10" t="n"/>
      <c r="AD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>
        <f>IF(T12="","",T12-TODAY())</f>
        <v/>
      </c>
      <c r="W12" s="10">
        <f>IF(T12="","",IF(T12&lt;TODAY(),"PAST EOS — UNSUPPORTED",IF(T12-TODAY()&lt;=365,"EOS within 12 months","Supported")))</f>
        <v/>
      </c>
      <c r="X12" s="10" t="n"/>
      <c r="Y12" s="10" t="n"/>
      <c r="Z12" s="10" t="n"/>
      <c r="AA12" s="10" t="n"/>
      <c r="AB12" s="10" t="n"/>
      <c r="AC12" s="10" t="n"/>
      <c r="AD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>
        <f>IF(T13="","",T13-TODAY())</f>
        <v/>
      </c>
      <c r="W13" s="10">
        <f>IF(T13="","",IF(T13&lt;TODAY(),"PAST EOS — UNSUPPORTED",IF(T13-TODAY()&lt;=365,"EOS within 12 months","Supported")))</f>
        <v/>
      </c>
      <c r="X13" s="10" t="n"/>
      <c r="Y13" s="10" t="n"/>
      <c r="Z13" s="10" t="n"/>
      <c r="AA13" s="10" t="n"/>
      <c r="AB13" s="10" t="n"/>
      <c r="AC13" s="10" t="n"/>
      <c r="AD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>
        <f>IF(T14="","",T14-TODAY())</f>
        <v/>
      </c>
      <c r="W14" s="10">
        <f>IF(T14="","",IF(T14&lt;TODAY(),"PAST EOS — UNSUPPORTED",IF(T14-TODAY()&lt;=365,"EOS within 12 months","Supported")))</f>
        <v/>
      </c>
      <c r="X14" s="10" t="n"/>
      <c r="Y14" s="10" t="n"/>
      <c r="Z14" s="10" t="n"/>
      <c r="AA14" s="10" t="n"/>
      <c r="AB14" s="10" t="n"/>
      <c r="AC14" s="10" t="n"/>
      <c r="AD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>
        <f>IF(T15="","",T15-TODAY())</f>
        <v/>
      </c>
      <c r="W15" s="10">
        <f>IF(T15="","",IF(T15&lt;TODAY(),"PAST EOS — UNSUPPORTED",IF(T15-TODAY()&lt;=365,"EOS within 12 months","Supported")))</f>
        <v/>
      </c>
      <c r="X15" s="10" t="n"/>
      <c r="Y15" s="10" t="n"/>
      <c r="Z15" s="10" t="n"/>
      <c r="AA15" s="10" t="n"/>
      <c r="AB15" s="10" t="n"/>
      <c r="AC15" s="10" t="n"/>
      <c r="AD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>
        <f>IF(T16="","",T16-TODAY())</f>
        <v/>
      </c>
      <c r="W16" s="10">
        <f>IF(T16="","",IF(T16&lt;TODAY(),"PAST EOS — UNSUPPORTED",IF(T16-TODAY()&lt;=365,"EOS within 12 months","Supported")))</f>
        <v/>
      </c>
      <c r="X16" s="10" t="n"/>
      <c r="Y16" s="10" t="n"/>
      <c r="Z16" s="10" t="n"/>
      <c r="AA16" s="10" t="n"/>
      <c r="AB16" s="10" t="n"/>
      <c r="AC16" s="10" t="n"/>
      <c r="AD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>
        <f>IF(T17="","",T17-TODAY())</f>
        <v/>
      </c>
      <c r="W17" s="10">
        <f>IF(T17="","",IF(T17&lt;TODAY(),"PAST EOS — UNSUPPORTED",IF(T17-TODAY()&lt;=365,"EOS within 12 months","Supported")))</f>
        <v/>
      </c>
      <c r="X17" s="10" t="n"/>
      <c r="Y17" s="10" t="n"/>
      <c r="Z17" s="10" t="n"/>
      <c r="AA17" s="10" t="n"/>
      <c r="AB17" s="10" t="n"/>
      <c r="AC17" s="10" t="n"/>
      <c r="AD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>
        <f>IF(T18="","",T18-TODAY())</f>
        <v/>
      </c>
      <c r="W18" s="10">
        <f>IF(T18="","",IF(T18&lt;TODAY(),"PAST EOS — UNSUPPORTED",IF(T18-TODAY()&lt;=365,"EOS within 12 months","Supported")))</f>
        <v/>
      </c>
      <c r="X18" s="10" t="n"/>
      <c r="Y18" s="10" t="n"/>
      <c r="Z18" s="10" t="n"/>
      <c r="AA18" s="10" t="n"/>
      <c r="AB18" s="10" t="n"/>
      <c r="AC18" s="10" t="n"/>
      <c r="AD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>
        <f>IF(T19="","",T19-TODAY())</f>
        <v/>
      </c>
      <c r="W19" s="10">
        <f>IF(T19="","",IF(T19&lt;TODAY(),"PAST EOS — UNSUPPORTED",IF(T19-TODAY()&lt;=365,"EOS within 12 months","Supported")))</f>
        <v/>
      </c>
      <c r="X19" s="10" t="n"/>
      <c r="Y19" s="10" t="n"/>
      <c r="Z19" s="10" t="n"/>
      <c r="AA19" s="10" t="n"/>
      <c r="AB19" s="10" t="n"/>
      <c r="AC19" s="10" t="n"/>
      <c r="AD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>
        <f>IF(T20="","",T20-TODAY())</f>
        <v/>
      </c>
      <c r="W20" s="10">
        <f>IF(T20="","",IF(T20&lt;TODAY(),"PAST EOS — UNSUPPORTED",IF(T20-TODAY()&lt;=365,"EOS within 12 months","Supported")))</f>
        <v/>
      </c>
      <c r="X20" s="10" t="n"/>
      <c r="Y20" s="10" t="n"/>
      <c r="Z20" s="10" t="n"/>
      <c r="AA20" s="10" t="n"/>
      <c r="AB20" s="10" t="n"/>
      <c r="AC20" s="10" t="n"/>
      <c r="AD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>
        <f>IF(T21="","",T21-TODAY())</f>
        <v/>
      </c>
      <c r="W21" s="10">
        <f>IF(T21="","",IF(T21&lt;TODAY(),"PAST EOS — UNSUPPORTED",IF(T21-TODAY()&lt;=365,"EOS within 12 months","Supported")))</f>
        <v/>
      </c>
      <c r="X21" s="10" t="n"/>
      <c r="Y21" s="10" t="n"/>
      <c r="Z21" s="10" t="n"/>
      <c r="AA21" s="10" t="n"/>
      <c r="AB21" s="10" t="n"/>
      <c r="AC21" s="10" t="n"/>
      <c r="AD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>
        <f>IF(T22="","",T22-TODAY())</f>
        <v/>
      </c>
      <c r="W22" s="10">
        <f>IF(T22="","",IF(T22&lt;TODAY(),"PAST EOS — UNSUPPORTED",IF(T22-TODAY()&lt;=365,"EOS within 12 months","Supported")))</f>
        <v/>
      </c>
      <c r="X22" s="10" t="n"/>
      <c r="Y22" s="10" t="n"/>
      <c r="Z22" s="10" t="n"/>
      <c r="AA22" s="10" t="n"/>
      <c r="AB22" s="10" t="n"/>
      <c r="AC22" s="10" t="n"/>
      <c r="AD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>
        <f>IF(T23="","",T23-TODAY())</f>
        <v/>
      </c>
      <c r="W23" s="10">
        <f>IF(T23="","",IF(T23&lt;TODAY(),"PAST EOS — UNSUPPORTED",IF(T23-TODAY()&lt;=365,"EOS within 12 months","Supported")))</f>
        <v/>
      </c>
      <c r="X23" s="10" t="n"/>
      <c r="Y23" s="10" t="n"/>
      <c r="Z23" s="10" t="n"/>
      <c r="AA23" s="10" t="n"/>
      <c r="AB23" s="10" t="n"/>
      <c r="AC23" s="10" t="n"/>
      <c r="AD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>
        <f>IF(T24="","",T24-TODAY())</f>
        <v/>
      </c>
      <c r="W24" s="10">
        <f>IF(T24="","",IF(T24&lt;TODAY(),"PAST EOS — UNSUPPORTED",IF(T24-TODAY()&lt;=365,"EOS within 12 months","Supported")))</f>
        <v/>
      </c>
      <c r="X24" s="10" t="n"/>
      <c r="Y24" s="10" t="n"/>
      <c r="Z24" s="10" t="n"/>
      <c r="AA24" s="10" t="n"/>
      <c r="AB24" s="10" t="n"/>
      <c r="AC24" s="10" t="n"/>
      <c r="AD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>
        <f>IF(T25="","",T25-TODAY())</f>
        <v/>
      </c>
      <c r="W25" s="10">
        <f>IF(T25="","",IF(T25&lt;TODAY(),"PAST EOS — UNSUPPORTED",IF(T25-TODAY()&lt;=365,"EOS within 12 months","Supported")))</f>
        <v/>
      </c>
      <c r="X25" s="10" t="n"/>
      <c r="Y25" s="10" t="n"/>
      <c r="Z25" s="10" t="n"/>
      <c r="AA25" s="10" t="n"/>
      <c r="AB25" s="10" t="n"/>
      <c r="AC25" s="10" t="n"/>
      <c r="AD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>
        <f>IF(T26="","",T26-TODAY())</f>
        <v/>
      </c>
      <c r="W26" s="10">
        <f>IF(T26="","",IF(T26&lt;TODAY(),"PAST EOS — UNSUPPORTED",IF(T26-TODAY()&lt;=365,"EOS within 12 months","Supported")))</f>
        <v/>
      </c>
      <c r="X26" s="10" t="n"/>
      <c r="Y26" s="10" t="n"/>
      <c r="Z26" s="10" t="n"/>
      <c r="AA26" s="10" t="n"/>
      <c r="AB26" s="10" t="n"/>
      <c r="AC26" s="10" t="n"/>
      <c r="AD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>
        <f>IF(T27="","",T27-TODAY())</f>
        <v/>
      </c>
      <c r="W27" s="10">
        <f>IF(T27="","",IF(T27&lt;TODAY(),"PAST EOS — UNSUPPORTED",IF(T27-TODAY()&lt;=365,"EOS within 12 months","Supported")))</f>
        <v/>
      </c>
      <c r="X27" s="10" t="n"/>
      <c r="Y27" s="10" t="n"/>
      <c r="Z27" s="10" t="n"/>
      <c r="AA27" s="10" t="n"/>
      <c r="AB27" s="10" t="n"/>
      <c r="AC27" s="10" t="n"/>
      <c r="AD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>
        <f>IF(T28="","",T28-TODAY())</f>
        <v/>
      </c>
      <c r="W28" s="10">
        <f>IF(T28="","",IF(T28&lt;TODAY(),"PAST EOS — UNSUPPORTED",IF(T28-TODAY()&lt;=365,"EOS within 12 months","Supported")))</f>
        <v/>
      </c>
      <c r="X28" s="10" t="n"/>
      <c r="Y28" s="10" t="n"/>
      <c r="Z28" s="10" t="n"/>
      <c r="AA28" s="10" t="n"/>
      <c r="AB28" s="10" t="n"/>
      <c r="AC28" s="10" t="n"/>
      <c r="AD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>
        <f>IF(T29="","",T29-TODAY())</f>
        <v/>
      </c>
      <c r="W29" s="10">
        <f>IF(T29="","",IF(T29&lt;TODAY(),"PAST EOS — UNSUPPORTED",IF(T29-TODAY()&lt;=365,"EOS within 12 months","Supported")))</f>
        <v/>
      </c>
      <c r="X29" s="10" t="n"/>
      <c r="Y29" s="10" t="n"/>
      <c r="Z29" s="10" t="n"/>
      <c r="AA29" s="10" t="n"/>
      <c r="AB29" s="10" t="n"/>
      <c r="AC29" s="10" t="n"/>
      <c r="AD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>
        <f>IF(T30="","",T30-TODAY())</f>
        <v/>
      </c>
      <c r="W30" s="10">
        <f>IF(T30="","",IF(T30&lt;TODAY(),"PAST EOS — UNSUPPORTED",IF(T30-TODAY()&lt;=365,"EOS within 12 months","Supported")))</f>
        <v/>
      </c>
      <c r="X30" s="10" t="n"/>
      <c r="Y30" s="10" t="n"/>
      <c r="Z30" s="10" t="n"/>
      <c r="AA30" s="10" t="n"/>
      <c r="AB30" s="10" t="n"/>
      <c r="AC30" s="10" t="n"/>
      <c r="AD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>
        <f>IF(T31="","",T31-TODAY())</f>
        <v/>
      </c>
      <c r="W31" s="10">
        <f>IF(T31="","",IF(T31&lt;TODAY(),"PAST EOS — UNSUPPORTED",IF(T31-TODAY()&lt;=365,"EOS within 12 months","Supported")))</f>
        <v/>
      </c>
      <c r="X31" s="10" t="n"/>
      <c r="Y31" s="10" t="n"/>
      <c r="Z31" s="10" t="n"/>
      <c r="AA31" s="10" t="n"/>
      <c r="AB31" s="10" t="n"/>
      <c r="AC31" s="10" t="n"/>
      <c r="AD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>
        <f>IF(T32="","",T32-TODAY())</f>
        <v/>
      </c>
      <c r="W32" s="10">
        <f>IF(T32="","",IF(T32&lt;TODAY(),"PAST EOS — UNSUPPORTED",IF(T32-TODAY()&lt;=365,"EOS within 12 months","Supported")))</f>
        <v/>
      </c>
      <c r="X32" s="10" t="n"/>
      <c r="Y32" s="10" t="n"/>
      <c r="Z32" s="10" t="n"/>
      <c r="AA32" s="10" t="n"/>
      <c r="AB32" s="10" t="n"/>
      <c r="AC32" s="10" t="n"/>
      <c r="AD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>
        <f>IF(T33="","",T33-TODAY())</f>
        <v/>
      </c>
      <c r="W33" s="10">
        <f>IF(T33="","",IF(T33&lt;TODAY(),"PAST EOS — UNSUPPORTED",IF(T33-TODAY()&lt;=365,"EOS within 12 months","Supported")))</f>
        <v/>
      </c>
      <c r="X33" s="10" t="n"/>
      <c r="Y33" s="10" t="n"/>
      <c r="Z33" s="10" t="n"/>
      <c r="AA33" s="10" t="n"/>
      <c r="AB33" s="10" t="n"/>
      <c r="AC33" s="10" t="n"/>
      <c r="AD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>
        <f>IF(T34="","",T34-TODAY())</f>
        <v/>
      </c>
      <c r="W34" s="10">
        <f>IF(T34="","",IF(T34&lt;TODAY(),"PAST EOS — UNSUPPORTED",IF(T34-TODAY()&lt;=365,"EOS within 12 months","Supported")))</f>
        <v/>
      </c>
      <c r="X34" s="10" t="n"/>
      <c r="Y34" s="10" t="n"/>
      <c r="Z34" s="10" t="n"/>
      <c r="AA34" s="10" t="n"/>
      <c r="AB34" s="10" t="n"/>
      <c r="AC34" s="10" t="n"/>
      <c r="AD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>
        <f>IF(T35="","",T35-TODAY())</f>
        <v/>
      </c>
      <c r="W35" s="10">
        <f>IF(T35="","",IF(T35&lt;TODAY(),"PAST EOS — UNSUPPORTED",IF(T35-TODAY()&lt;=365,"EOS within 12 months","Supported")))</f>
        <v/>
      </c>
      <c r="X35" s="10" t="n"/>
      <c r="Y35" s="10" t="n"/>
      <c r="Z35" s="10" t="n"/>
      <c r="AA35" s="10" t="n"/>
      <c r="AB35" s="10" t="n"/>
      <c r="AC35" s="10" t="n"/>
      <c r="AD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>
        <f>IF(T36="","",T36-TODAY())</f>
        <v/>
      </c>
      <c r="W36" s="10">
        <f>IF(T36="","",IF(T36&lt;TODAY(),"PAST EOS — UNSUPPORTED",IF(T36-TODAY()&lt;=365,"EOS within 12 months","Supported")))</f>
        <v/>
      </c>
      <c r="X36" s="10" t="n"/>
      <c r="Y36" s="10" t="n"/>
      <c r="Z36" s="10" t="n"/>
      <c r="AA36" s="10" t="n"/>
      <c r="AB36" s="10" t="n"/>
      <c r="AC36" s="10" t="n"/>
      <c r="AD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>
        <f>IF(T37="","",T37-TODAY())</f>
        <v/>
      </c>
      <c r="W37" s="10">
        <f>IF(T37="","",IF(T37&lt;TODAY(),"PAST EOS — UNSUPPORTED",IF(T37-TODAY()&lt;=365,"EOS within 12 months","Supported")))</f>
        <v/>
      </c>
      <c r="X37" s="10" t="n"/>
      <c r="Y37" s="10" t="n"/>
      <c r="Z37" s="10" t="n"/>
      <c r="AA37" s="10" t="n"/>
      <c r="AB37" s="10" t="n"/>
      <c r="AC37" s="10" t="n"/>
      <c r="AD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>
        <f>IF(T38="","",T38-TODAY())</f>
        <v/>
      </c>
      <c r="W38" s="10">
        <f>IF(T38="","",IF(T38&lt;TODAY(),"PAST EOS — UNSUPPORTED",IF(T38-TODAY()&lt;=365,"EOS within 12 months","Supported")))</f>
        <v/>
      </c>
      <c r="X38" s="10" t="n"/>
      <c r="Y38" s="10" t="n"/>
      <c r="Z38" s="10" t="n"/>
      <c r="AA38" s="10" t="n"/>
      <c r="AB38" s="10" t="n"/>
      <c r="AC38" s="10" t="n"/>
      <c r="AD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>
        <f>IF(T39="","",T39-TODAY())</f>
        <v/>
      </c>
      <c r="W39" s="10">
        <f>IF(T39="","",IF(T39&lt;TODAY(),"PAST EOS — UNSUPPORTED",IF(T39-TODAY()&lt;=365,"EOS within 12 months","Supported")))</f>
        <v/>
      </c>
      <c r="X39" s="10" t="n"/>
      <c r="Y39" s="10" t="n"/>
      <c r="Z39" s="10" t="n"/>
      <c r="AA39" s="10" t="n"/>
      <c r="AB39" s="10" t="n"/>
      <c r="AC39" s="10" t="n"/>
      <c r="AD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>
        <f>IF(T40="","",T40-TODAY())</f>
        <v/>
      </c>
      <c r="W40" s="10">
        <f>IF(T40="","",IF(T40&lt;TODAY(),"PAST EOS — UNSUPPORTED",IF(T40-TODAY()&lt;=365,"EOS within 12 months","Supported")))</f>
        <v/>
      </c>
      <c r="X40" s="10" t="n"/>
      <c r="Y40" s="10" t="n"/>
      <c r="Z40" s="10" t="n"/>
      <c r="AA40" s="10" t="n"/>
      <c r="AB40" s="10" t="n"/>
      <c r="AC40" s="10" t="n"/>
      <c r="AD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>
        <f>IF(T41="","",T41-TODAY())</f>
        <v/>
      </c>
      <c r="W41" s="10">
        <f>IF(T41="","",IF(T41&lt;TODAY(),"PAST EOS — UNSUPPORTED",IF(T41-TODAY()&lt;=365,"EOS within 12 months","Supported")))</f>
        <v/>
      </c>
      <c r="X41" s="10" t="n"/>
      <c r="Y41" s="10" t="n"/>
      <c r="Z41" s="10" t="n"/>
      <c r="AA41" s="10" t="n"/>
      <c r="AB41" s="10" t="n"/>
      <c r="AC41" s="10" t="n"/>
      <c r="AD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>
        <f>IF(T42="","",T42-TODAY())</f>
        <v/>
      </c>
      <c r="W42" s="10">
        <f>IF(T42="","",IF(T42&lt;TODAY(),"PAST EOS — UNSUPPORTED",IF(T42-TODAY()&lt;=365,"EOS within 12 months","Supported")))</f>
        <v/>
      </c>
      <c r="X42" s="10" t="n"/>
      <c r="Y42" s="10" t="n"/>
      <c r="Z42" s="10" t="n"/>
      <c r="AA42" s="10" t="n"/>
      <c r="AB42" s="10" t="n"/>
      <c r="AC42" s="10" t="n"/>
      <c r="AD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>
        <f>IF(T43="","",T43-TODAY())</f>
        <v/>
      </c>
      <c r="W43" s="10">
        <f>IF(T43="","",IF(T43&lt;TODAY(),"PAST EOS — UNSUPPORTED",IF(T43-TODAY()&lt;=365,"EOS within 12 months","Supported")))</f>
        <v/>
      </c>
      <c r="X43" s="10" t="n"/>
      <c r="Y43" s="10" t="n"/>
      <c r="Z43" s="10" t="n"/>
      <c r="AA43" s="10" t="n"/>
      <c r="AB43" s="10" t="n"/>
      <c r="AC43" s="10" t="n"/>
      <c r="AD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>
        <f>IF(T44="","",T44-TODAY())</f>
        <v/>
      </c>
      <c r="W44" s="10">
        <f>IF(T44="","",IF(T44&lt;TODAY(),"PAST EOS — UNSUPPORTED",IF(T44-TODAY()&lt;=365,"EOS within 12 months","Supported")))</f>
        <v/>
      </c>
      <c r="X44" s="10" t="n"/>
      <c r="Y44" s="10" t="n"/>
      <c r="Z44" s="10" t="n"/>
      <c r="AA44" s="10" t="n"/>
      <c r="AB44" s="10" t="n"/>
      <c r="AC44" s="10" t="n"/>
      <c r="AD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>
        <f>IF(T45="","",T45-TODAY())</f>
        <v/>
      </c>
      <c r="W45" s="10">
        <f>IF(T45="","",IF(T45&lt;TODAY(),"PAST EOS — UNSUPPORTED",IF(T45-TODAY()&lt;=365,"EOS within 12 months","Supported")))</f>
        <v/>
      </c>
      <c r="X45" s="10" t="n"/>
      <c r="Y45" s="10" t="n"/>
      <c r="Z45" s="10" t="n"/>
      <c r="AA45" s="10" t="n"/>
      <c r="AB45" s="10" t="n"/>
      <c r="AC45" s="10" t="n"/>
      <c r="AD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>
        <f>IF(T46="","",T46-TODAY())</f>
        <v/>
      </c>
      <c r="W46" s="10">
        <f>IF(T46="","",IF(T46&lt;TODAY(),"PAST EOS — UNSUPPORTED",IF(T46-TODAY()&lt;=365,"EOS within 12 months","Supported")))</f>
        <v/>
      </c>
      <c r="X46" s="10" t="n"/>
      <c r="Y46" s="10" t="n"/>
      <c r="Z46" s="10" t="n"/>
      <c r="AA46" s="10" t="n"/>
      <c r="AB46" s="10" t="n"/>
      <c r="AC46" s="10" t="n"/>
      <c r="AD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>
        <f>IF(T47="","",T47-TODAY())</f>
        <v/>
      </c>
      <c r="W47" s="10">
        <f>IF(T47="","",IF(T47&lt;TODAY(),"PAST EOS — UNSUPPORTED",IF(T47-TODAY()&lt;=365,"EOS within 12 months","Supported")))</f>
        <v/>
      </c>
      <c r="X47" s="10" t="n"/>
      <c r="Y47" s="10" t="n"/>
      <c r="Z47" s="10" t="n"/>
      <c r="AA47" s="10" t="n"/>
      <c r="AB47" s="10" t="n"/>
      <c r="AC47" s="10" t="n"/>
      <c r="AD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>
        <f>IF(T48="","",T48-TODAY())</f>
        <v/>
      </c>
      <c r="W48" s="10">
        <f>IF(T48="","",IF(T48&lt;TODAY(),"PAST EOS — UNSUPPORTED",IF(T48-TODAY()&lt;=365,"EOS within 12 months","Supported")))</f>
        <v/>
      </c>
      <c r="X48" s="10" t="n"/>
      <c r="Y48" s="10" t="n"/>
      <c r="Z48" s="10" t="n"/>
      <c r="AA48" s="10" t="n"/>
      <c r="AB48" s="10" t="n"/>
      <c r="AC48" s="10" t="n"/>
      <c r="AD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>
        <f>IF(T49="","",T49-TODAY())</f>
        <v/>
      </c>
      <c r="W49" s="10">
        <f>IF(T49="","",IF(T49&lt;TODAY(),"PAST EOS — UNSUPPORTED",IF(T49-TODAY()&lt;=365,"EOS within 12 months","Supported")))</f>
        <v/>
      </c>
      <c r="X49" s="10" t="n"/>
      <c r="Y49" s="10" t="n"/>
      <c r="Z49" s="10" t="n"/>
      <c r="AA49" s="10" t="n"/>
      <c r="AB49" s="10" t="n"/>
      <c r="AC49" s="10" t="n"/>
      <c r="AD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>
        <f>IF(T50="","",T50-TODAY())</f>
        <v/>
      </c>
      <c r="W50" s="10">
        <f>IF(T50="","",IF(T50&lt;TODAY(),"PAST EOS — UNSUPPORTED",IF(T50-TODAY()&lt;=365,"EOS within 12 months","Supported")))</f>
        <v/>
      </c>
      <c r="X50" s="10" t="n"/>
      <c r="Y50" s="10" t="n"/>
      <c r="Z50" s="10" t="n"/>
      <c r="AA50" s="10" t="n"/>
      <c r="AB50" s="10" t="n"/>
      <c r="AC50" s="10" t="n"/>
      <c r="AD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>
        <f>IF(T51="","",T51-TODAY())</f>
        <v/>
      </c>
      <c r="W51" s="10">
        <f>IF(T51="","",IF(T51&lt;TODAY(),"PAST EOS — UNSUPPORTED",IF(T51-TODAY()&lt;=365,"EOS within 12 months","Supported")))</f>
        <v/>
      </c>
      <c r="X51" s="10" t="n"/>
      <c r="Y51" s="10" t="n"/>
      <c r="Z51" s="10" t="n"/>
      <c r="AA51" s="10" t="n"/>
      <c r="AB51" s="10" t="n"/>
      <c r="AC51" s="10" t="n"/>
      <c r="AD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>
        <f>IF(T52="","",T52-TODAY())</f>
        <v/>
      </c>
      <c r="W52" s="10">
        <f>IF(T52="","",IF(T52&lt;TODAY(),"PAST EOS — UNSUPPORTED",IF(T52-TODAY()&lt;=365,"EOS within 12 months","Supported")))</f>
        <v/>
      </c>
      <c r="X52" s="10" t="n"/>
      <c r="Y52" s="10" t="n"/>
      <c r="Z52" s="10" t="n"/>
      <c r="AA52" s="10" t="n"/>
      <c r="AB52" s="10" t="n"/>
      <c r="AC52" s="10" t="n"/>
      <c r="AD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>
        <f>IF(T53="","",T53-TODAY())</f>
        <v/>
      </c>
      <c r="W53" s="10">
        <f>IF(T53="","",IF(T53&lt;TODAY(),"PAST EOS — UNSUPPORTED",IF(T53-TODAY()&lt;=365,"EOS within 12 months","Supported")))</f>
        <v/>
      </c>
      <c r="X53" s="10" t="n"/>
      <c r="Y53" s="10" t="n"/>
      <c r="Z53" s="10" t="n"/>
      <c r="AA53" s="10" t="n"/>
      <c r="AB53" s="10" t="n"/>
      <c r="AC53" s="10" t="n"/>
      <c r="AD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>
        <f>IF(T54="","",T54-TODAY())</f>
        <v/>
      </c>
      <c r="W54" s="10">
        <f>IF(T54="","",IF(T54&lt;TODAY(),"PAST EOS — UNSUPPORTED",IF(T54-TODAY()&lt;=365,"EOS within 12 months","Supported")))</f>
        <v/>
      </c>
      <c r="X54" s="10" t="n"/>
      <c r="Y54" s="10" t="n"/>
      <c r="Z54" s="10" t="n"/>
      <c r="AA54" s="10" t="n"/>
      <c r="AB54" s="10" t="n"/>
      <c r="AC54" s="10" t="n"/>
      <c r="AD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>
        <f>IF(T55="","",T55-TODAY())</f>
        <v/>
      </c>
      <c r="W55" s="10">
        <f>IF(T55="","",IF(T55&lt;TODAY(),"PAST EOS — UNSUPPORTED",IF(T55-TODAY()&lt;=365,"EOS within 12 months","Supported")))</f>
        <v/>
      </c>
      <c r="X55" s="10" t="n"/>
      <c r="Y55" s="10" t="n"/>
      <c r="Z55" s="10" t="n"/>
      <c r="AA55" s="10" t="n"/>
      <c r="AB55" s="10" t="n"/>
      <c r="AC55" s="10" t="n"/>
      <c r="AD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>
        <f>IF(T56="","",T56-TODAY())</f>
        <v/>
      </c>
      <c r="W56" s="10">
        <f>IF(T56="","",IF(T56&lt;TODAY(),"PAST EOS — UNSUPPORTED",IF(T56-TODAY()&lt;=365,"EOS within 12 months","Supported")))</f>
        <v/>
      </c>
      <c r="X56" s="10" t="n"/>
      <c r="Y56" s="10" t="n"/>
      <c r="Z56" s="10" t="n"/>
      <c r="AA56" s="10" t="n"/>
      <c r="AB56" s="10" t="n"/>
      <c r="AC56" s="10" t="n"/>
      <c r="AD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>
        <f>IF(T57="","",T57-TODAY())</f>
        <v/>
      </c>
      <c r="W57" s="10">
        <f>IF(T57="","",IF(T57&lt;TODAY(),"PAST EOS — UNSUPPORTED",IF(T57-TODAY()&lt;=365,"EOS within 12 months","Supported")))</f>
        <v/>
      </c>
      <c r="X57" s="10" t="n"/>
      <c r="Y57" s="10" t="n"/>
      <c r="Z57" s="10" t="n"/>
      <c r="AA57" s="10" t="n"/>
      <c r="AB57" s="10" t="n"/>
      <c r="AC57" s="10" t="n"/>
      <c r="AD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>
        <f>IF(T58="","",T58-TODAY())</f>
        <v/>
      </c>
      <c r="W58" s="10">
        <f>IF(T58="","",IF(T58&lt;TODAY(),"PAST EOS — UNSUPPORTED",IF(T58-TODAY()&lt;=365,"EOS within 12 months","Supported")))</f>
        <v/>
      </c>
      <c r="X58" s="10" t="n"/>
      <c r="Y58" s="10" t="n"/>
      <c r="Z58" s="10" t="n"/>
      <c r="AA58" s="10" t="n"/>
      <c r="AB58" s="10" t="n"/>
      <c r="AC58" s="10" t="n"/>
      <c r="AD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>
        <f>IF(T59="","",T59-TODAY())</f>
        <v/>
      </c>
      <c r="W59" s="10">
        <f>IF(T59="","",IF(T59&lt;TODAY(),"PAST EOS — UNSUPPORTED",IF(T59-TODAY()&lt;=365,"EOS within 12 months","Supported")))</f>
        <v/>
      </c>
      <c r="X59" s="10" t="n"/>
      <c r="Y59" s="10" t="n"/>
      <c r="Z59" s="10" t="n"/>
      <c r="AA59" s="10" t="n"/>
      <c r="AB59" s="10" t="n"/>
      <c r="AC59" s="10" t="n"/>
      <c r="AD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>
        <f>IF(T60="","",T60-TODAY())</f>
        <v/>
      </c>
      <c r="W60" s="10">
        <f>IF(T60="","",IF(T60&lt;TODAY(),"PAST EOS — UNSUPPORTED",IF(T60-TODAY()&lt;=365,"EOS within 12 months","Supported")))</f>
        <v/>
      </c>
      <c r="X60" s="10" t="n"/>
      <c r="Y60" s="10" t="n"/>
      <c r="Z60" s="10" t="n"/>
      <c r="AA60" s="10" t="n"/>
      <c r="AB60" s="10" t="n"/>
      <c r="AC60" s="10" t="n"/>
      <c r="AD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>
        <f>IF(T61="","",T61-TODAY())</f>
        <v/>
      </c>
      <c r="W61" s="10">
        <f>IF(T61="","",IF(T61&lt;TODAY(),"PAST EOS — UNSUPPORTED",IF(T61-TODAY()&lt;=365,"EOS within 12 months","Supported")))</f>
        <v/>
      </c>
      <c r="X61" s="10" t="n"/>
      <c r="Y61" s="10" t="n"/>
      <c r="Z61" s="10" t="n"/>
      <c r="AA61" s="10" t="n"/>
      <c r="AB61" s="10" t="n"/>
      <c r="AC61" s="10" t="n"/>
      <c r="AD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>
        <f>IF(T62="","",T62-TODAY())</f>
        <v/>
      </c>
      <c r="W62" s="10">
        <f>IF(T62="","",IF(T62&lt;TODAY(),"PAST EOS — UNSUPPORTED",IF(T62-TODAY()&lt;=365,"EOS within 12 months","Supported")))</f>
        <v/>
      </c>
      <c r="X62" s="10" t="n"/>
      <c r="Y62" s="10" t="n"/>
      <c r="Z62" s="10" t="n"/>
      <c r="AA62" s="10" t="n"/>
      <c r="AB62" s="10" t="n"/>
      <c r="AC62" s="10" t="n"/>
      <c r="AD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>
        <f>IF(T63="","",T63-TODAY())</f>
        <v/>
      </c>
      <c r="W63" s="10">
        <f>IF(T63="","",IF(T63&lt;TODAY(),"PAST EOS — UNSUPPORTED",IF(T63-TODAY()&lt;=365,"EOS within 12 months","Supported")))</f>
        <v/>
      </c>
      <c r="X63" s="10" t="n"/>
      <c r="Y63" s="10" t="n"/>
      <c r="Z63" s="10" t="n"/>
      <c r="AA63" s="10" t="n"/>
      <c r="AB63" s="10" t="n"/>
      <c r="AC63" s="10" t="n"/>
      <c r="AD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>
        <f>IF(T64="","",T64-TODAY())</f>
        <v/>
      </c>
      <c r="W64" s="10">
        <f>IF(T64="","",IF(T64&lt;TODAY(),"PAST EOS — UNSUPPORTED",IF(T64-TODAY()&lt;=365,"EOS within 12 months","Supported")))</f>
        <v/>
      </c>
      <c r="X64" s="10" t="n"/>
      <c r="Y64" s="10" t="n"/>
      <c r="Z64" s="10" t="n"/>
      <c r="AA64" s="10" t="n"/>
      <c r="AB64" s="10" t="n"/>
      <c r="AC64" s="10" t="n"/>
      <c r="AD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>
        <f>IF(T65="","",T65-TODAY())</f>
        <v/>
      </c>
      <c r="W65" s="10">
        <f>IF(T65="","",IF(T65&lt;TODAY(),"PAST EOS — UNSUPPORTED",IF(T65-TODAY()&lt;=365,"EOS within 12 months","Supported")))</f>
        <v/>
      </c>
      <c r="X65" s="10" t="n"/>
      <c r="Y65" s="10" t="n"/>
      <c r="Z65" s="10" t="n"/>
      <c r="AA65" s="10" t="n"/>
      <c r="AB65" s="10" t="n"/>
      <c r="AC65" s="10" t="n"/>
      <c r="AD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>
        <f>IF(T66="","",T66-TODAY())</f>
        <v/>
      </c>
      <c r="W66" s="10">
        <f>IF(T66="","",IF(T66&lt;TODAY(),"PAST EOS — UNSUPPORTED",IF(T66-TODAY()&lt;=365,"EOS within 12 months","Supported")))</f>
        <v/>
      </c>
      <c r="X66" s="10" t="n"/>
      <c r="Y66" s="10" t="n"/>
      <c r="Z66" s="10" t="n"/>
      <c r="AA66" s="10" t="n"/>
      <c r="AB66" s="10" t="n"/>
      <c r="AC66" s="10" t="n"/>
      <c r="AD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>
        <f>IF(T67="","",T67-TODAY())</f>
        <v/>
      </c>
      <c r="W67" s="10">
        <f>IF(T67="","",IF(T67&lt;TODAY(),"PAST EOS — UNSUPPORTED",IF(T67-TODAY()&lt;=365,"EOS within 12 months","Supported")))</f>
        <v/>
      </c>
      <c r="X67" s="10" t="n"/>
      <c r="Y67" s="10" t="n"/>
      <c r="Z67" s="10" t="n"/>
      <c r="AA67" s="10" t="n"/>
      <c r="AB67" s="10" t="n"/>
      <c r="AC67" s="10" t="n"/>
      <c r="AD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>
        <f>IF(T68="","",T68-TODAY())</f>
        <v/>
      </c>
      <c r="W68" s="10">
        <f>IF(T68="","",IF(T68&lt;TODAY(),"PAST EOS — UNSUPPORTED",IF(T68-TODAY()&lt;=365,"EOS within 12 months","Supported")))</f>
        <v/>
      </c>
      <c r="X68" s="10" t="n"/>
      <c r="Y68" s="10" t="n"/>
      <c r="Z68" s="10" t="n"/>
      <c r="AA68" s="10" t="n"/>
      <c r="AB68" s="10" t="n"/>
      <c r="AC68" s="10" t="n"/>
      <c r="AD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>
        <f>IF(T69="","",T69-TODAY())</f>
        <v/>
      </c>
      <c r="W69" s="10">
        <f>IF(T69="","",IF(T69&lt;TODAY(),"PAST EOS — UNSUPPORTED",IF(T69-TODAY()&lt;=365,"EOS within 12 months","Supported")))</f>
        <v/>
      </c>
      <c r="X69" s="10" t="n"/>
      <c r="Y69" s="10" t="n"/>
      <c r="Z69" s="10" t="n"/>
      <c r="AA69" s="10" t="n"/>
      <c r="AB69" s="10" t="n"/>
      <c r="AC69" s="10" t="n"/>
      <c r="AD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>
        <f>IF(T70="","",T70-TODAY())</f>
        <v/>
      </c>
      <c r="W70" s="10">
        <f>IF(T70="","",IF(T70&lt;TODAY(),"PAST EOS — UNSUPPORTED",IF(T70-TODAY()&lt;=365,"EOS within 12 months","Supported")))</f>
        <v/>
      </c>
      <c r="X70" s="10" t="n"/>
      <c r="Y70" s="10" t="n"/>
      <c r="Z70" s="10" t="n"/>
      <c r="AA70" s="10" t="n"/>
      <c r="AB70" s="10" t="n"/>
      <c r="AC70" s="10" t="n"/>
      <c r="AD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>
        <f>IF(T71="","",T71-TODAY())</f>
        <v/>
      </c>
      <c r="W71" s="10">
        <f>IF(T71="","",IF(T71&lt;TODAY(),"PAST EOS — UNSUPPORTED",IF(T71-TODAY()&lt;=365,"EOS within 12 months","Supported")))</f>
        <v/>
      </c>
      <c r="X71" s="10" t="n"/>
      <c r="Y71" s="10" t="n"/>
      <c r="Z71" s="10" t="n"/>
      <c r="AA71" s="10" t="n"/>
      <c r="AB71" s="10" t="n"/>
      <c r="AC71" s="10" t="n"/>
      <c r="AD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>
        <f>IF(T72="","",T72-TODAY())</f>
        <v/>
      </c>
      <c r="W72" s="10">
        <f>IF(T72="","",IF(T72&lt;TODAY(),"PAST EOS — UNSUPPORTED",IF(T72-TODAY()&lt;=365,"EOS within 12 months","Supported")))</f>
        <v/>
      </c>
      <c r="X72" s="10" t="n"/>
      <c r="Y72" s="10" t="n"/>
      <c r="Z72" s="10" t="n"/>
      <c r="AA72" s="10" t="n"/>
      <c r="AB72" s="10" t="n"/>
      <c r="AC72" s="10" t="n"/>
      <c r="AD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>
        <f>IF(T73="","",T73-TODAY())</f>
        <v/>
      </c>
      <c r="W73" s="10">
        <f>IF(T73="","",IF(T73&lt;TODAY(),"PAST EOS — UNSUPPORTED",IF(T73-TODAY()&lt;=365,"EOS within 12 months","Supported")))</f>
        <v/>
      </c>
      <c r="X73" s="10" t="n"/>
      <c r="Y73" s="10" t="n"/>
      <c r="Z73" s="10" t="n"/>
      <c r="AA73" s="10" t="n"/>
      <c r="AB73" s="10" t="n"/>
      <c r="AC73" s="10" t="n"/>
      <c r="AD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>
        <f>IF(T74="","",T74-TODAY())</f>
        <v/>
      </c>
      <c r="W74" s="10">
        <f>IF(T74="","",IF(T74&lt;TODAY(),"PAST EOS — UNSUPPORTED",IF(T74-TODAY()&lt;=365,"EOS within 12 months","Supported")))</f>
        <v/>
      </c>
      <c r="X74" s="10" t="n"/>
      <c r="Y74" s="10" t="n"/>
      <c r="Z74" s="10" t="n"/>
      <c r="AA74" s="10" t="n"/>
      <c r="AB74" s="10" t="n"/>
      <c r="AC74" s="10" t="n"/>
      <c r="AD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>
        <f>IF(T75="","",T75-TODAY())</f>
        <v/>
      </c>
      <c r="W75" s="10">
        <f>IF(T75="","",IF(T75&lt;TODAY(),"PAST EOS — UNSUPPORTED",IF(T75-TODAY()&lt;=365,"EOS within 12 months","Supported")))</f>
        <v/>
      </c>
      <c r="X75" s="10" t="n"/>
      <c r="Y75" s="10" t="n"/>
      <c r="Z75" s="10" t="n"/>
      <c r="AA75" s="10" t="n"/>
      <c r="AB75" s="10" t="n"/>
      <c r="AC75" s="10" t="n"/>
      <c r="AD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>
        <f>IF(T76="","",T76-TODAY())</f>
        <v/>
      </c>
      <c r="W76" s="10">
        <f>IF(T76="","",IF(T76&lt;TODAY(),"PAST EOS — UNSUPPORTED",IF(T76-TODAY()&lt;=365,"EOS within 12 months","Supported")))</f>
        <v/>
      </c>
      <c r="X76" s="10" t="n"/>
      <c r="Y76" s="10" t="n"/>
      <c r="Z76" s="10" t="n"/>
      <c r="AA76" s="10" t="n"/>
      <c r="AB76" s="10" t="n"/>
      <c r="AC76" s="10" t="n"/>
      <c r="AD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>
        <f>IF(T77="","",T77-TODAY())</f>
        <v/>
      </c>
      <c r="W77" s="10">
        <f>IF(T77="","",IF(T77&lt;TODAY(),"PAST EOS — UNSUPPORTED",IF(T77-TODAY()&lt;=365,"EOS within 12 months","Supported")))</f>
        <v/>
      </c>
      <c r="X77" s="10" t="n"/>
      <c r="Y77" s="10" t="n"/>
      <c r="Z77" s="10" t="n"/>
      <c r="AA77" s="10" t="n"/>
      <c r="AB77" s="10" t="n"/>
      <c r="AC77" s="10" t="n"/>
      <c r="AD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>
        <f>IF(T78="","",T78-TODAY())</f>
        <v/>
      </c>
      <c r="W78" s="10">
        <f>IF(T78="","",IF(T78&lt;TODAY(),"PAST EOS — UNSUPPORTED",IF(T78-TODAY()&lt;=365,"EOS within 12 months","Supported")))</f>
        <v/>
      </c>
      <c r="X78" s="10" t="n"/>
      <c r="Y78" s="10" t="n"/>
      <c r="Z78" s="10" t="n"/>
      <c r="AA78" s="10" t="n"/>
      <c r="AB78" s="10" t="n"/>
      <c r="AC78" s="10" t="n"/>
      <c r="AD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>
        <f>IF(T79="","",T79-TODAY())</f>
        <v/>
      </c>
      <c r="W79" s="10">
        <f>IF(T79="","",IF(T79&lt;TODAY(),"PAST EOS — UNSUPPORTED",IF(T79-TODAY()&lt;=365,"EOS within 12 months","Supported")))</f>
        <v/>
      </c>
      <c r="X79" s="10" t="n"/>
      <c r="Y79" s="10" t="n"/>
      <c r="Z79" s="10" t="n"/>
      <c r="AA79" s="10" t="n"/>
      <c r="AB79" s="10" t="n"/>
      <c r="AC79" s="10" t="n"/>
      <c r="AD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>
        <f>IF(T80="","",T80-TODAY())</f>
        <v/>
      </c>
      <c r="W80" s="10">
        <f>IF(T80="","",IF(T80&lt;TODAY(),"PAST EOS — UNSUPPORTED",IF(T80-TODAY()&lt;=365,"EOS within 12 months","Supported")))</f>
        <v/>
      </c>
      <c r="X80" s="10" t="n"/>
      <c r="Y80" s="10" t="n"/>
      <c r="Z80" s="10" t="n"/>
      <c r="AA80" s="10" t="n"/>
      <c r="AB80" s="10" t="n"/>
      <c r="AC80" s="10" t="n"/>
      <c r="AD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>
        <f>IF(T81="","",T81-TODAY())</f>
        <v/>
      </c>
      <c r="W81" s="10">
        <f>IF(T81="","",IF(T81&lt;TODAY(),"PAST EOS — UNSUPPORTED",IF(T81-TODAY()&lt;=365,"EOS within 12 months","Supported")))</f>
        <v/>
      </c>
      <c r="X81" s="10" t="n"/>
      <c r="Y81" s="10" t="n"/>
      <c r="Z81" s="10" t="n"/>
      <c r="AA81" s="10" t="n"/>
      <c r="AB81" s="10" t="n"/>
      <c r="AC81" s="10" t="n"/>
      <c r="AD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>
        <f>IF(T82="","",T82-TODAY())</f>
        <v/>
      </c>
      <c r="W82" s="10">
        <f>IF(T82="","",IF(T82&lt;TODAY(),"PAST EOS — UNSUPPORTED",IF(T82-TODAY()&lt;=365,"EOS within 12 months","Supported")))</f>
        <v/>
      </c>
      <c r="X82" s="10" t="n"/>
      <c r="Y82" s="10" t="n"/>
      <c r="Z82" s="10" t="n"/>
      <c r="AA82" s="10" t="n"/>
      <c r="AB82" s="10" t="n"/>
      <c r="AC82" s="10" t="n"/>
      <c r="AD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>
        <f>IF(T83="","",T83-TODAY())</f>
        <v/>
      </c>
      <c r="W83" s="10">
        <f>IF(T83="","",IF(T83&lt;TODAY(),"PAST EOS — UNSUPPORTED",IF(T83-TODAY()&lt;=365,"EOS within 12 months","Supported")))</f>
        <v/>
      </c>
      <c r="X83" s="10" t="n"/>
      <c r="Y83" s="10" t="n"/>
      <c r="Z83" s="10" t="n"/>
      <c r="AA83" s="10" t="n"/>
      <c r="AB83" s="10" t="n"/>
      <c r="AC83" s="10" t="n"/>
      <c r="AD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>
        <f>IF(T84="","",T84-TODAY())</f>
        <v/>
      </c>
      <c r="W84" s="10">
        <f>IF(T84="","",IF(T84&lt;TODAY(),"PAST EOS — UNSUPPORTED",IF(T84-TODAY()&lt;=365,"EOS within 12 months","Supported")))</f>
        <v/>
      </c>
      <c r="X84" s="10" t="n"/>
      <c r="Y84" s="10" t="n"/>
      <c r="Z84" s="10" t="n"/>
      <c r="AA84" s="10" t="n"/>
      <c r="AB84" s="10" t="n"/>
      <c r="AC84" s="10" t="n"/>
      <c r="AD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>
        <f>IF(T85="","",T85-TODAY())</f>
        <v/>
      </c>
      <c r="W85" s="10">
        <f>IF(T85="","",IF(T85&lt;TODAY(),"PAST EOS — UNSUPPORTED",IF(T85-TODAY()&lt;=365,"EOS within 12 months","Supported")))</f>
        <v/>
      </c>
      <c r="X85" s="10" t="n"/>
      <c r="Y85" s="10" t="n"/>
      <c r="Z85" s="10" t="n"/>
      <c r="AA85" s="10" t="n"/>
      <c r="AB85" s="10" t="n"/>
      <c r="AC85" s="10" t="n"/>
      <c r="AD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>
        <f>IF(T86="","",T86-TODAY())</f>
        <v/>
      </c>
      <c r="W86" s="10">
        <f>IF(T86="","",IF(T86&lt;TODAY(),"PAST EOS — UNSUPPORTED",IF(T86-TODAY()&lt;=365,"EOS within 12 months","Supported")))</f>
        <v/>
      </c>
      <c r="X86" s="10" t="n"/>
      <c r="Y86" s="10" t="n"/>
      <c r="Z86" s="10" t="n"/>
      <c r="AA86" s="10" t="n"/>
      <c r="AB86" s="10" t="n"/>
      <c r="AC86" s="10" t="n"/>
      <c r="AD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>
        <f>IF(T87="","",T87-TODAY())</f>
        <v/>
      </c>
      <c r="W87" s="10">
        <f>IF(T87="","",IF(T87&lt;TODAY(),"PAST EOS — UNSUPPORTED",IF(T87-TODAY()&lt;=365,"EOS within 12 months","Supported")))</f>
        <v/>
      </c>
      <c r="X87" s="10" t="n"/>
      <c r="Y87" s="10" t="n"/>
      <c r="Z87" s="10" t="n"/>
      <c r="AA87" s="10" t="n"/>
      <c r="AB87" s="10" t="n"/>
      <c r="AC87" s="10" t="n"/>
      <c r="AD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>
        <f>IF(T88="","",T88-TODAY())</f>
        <v/>
      </c>
      <c r="W88" s="10">
        <f>IF(T88="","",IF(T88&lt;TODAY(),"PAST EOS — UNSUPPORTED",IF(T88-TODAY()&lt;=365,"EOS within 12 months","Supported")))</f>
        <v/>
      </c>
      <c r="X88" s="10" t="n"/>
      <c r="Y88" s="10" t="n"/>
      <c r="Z88" s="10" t="n"/>
      <c r="AA88" s="10" t="n"/>
      <c r="AB88" s="10" t="n"/>
      <c r="AC88" s="10" t="n"/>
      <c r="AD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>
        <f>IF(T89="","",T89-TODAY())</f>
        <v/>
      </c>
      <c r="W89" s="10">
        <f>IF(T89="","",IF(T89&lt;TODAY(),"PAST EOS — UNSUPPORTED",IF(T89-TODAY()&lt;=365,"EOS within 12 months","Supported")))</f>
        <v/>
      </c>
      <c r="X89" s="10" t="n"/>
      <c r="Y89" s="10" t="n"/>
      <c r="Z89" s="10" t="n"/>
      <c r="AA89" s="10" t="n"/>
      <c r="AB89" s="10" t="n"/>
      <c r="AC89" s="10" t="n"/>
      <c r="AD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>
        <f>IF(T90="","",T90-TODAY())</f>
        <v/>
      </c>
      <c r="W90" s="10">
        <f>IF(T90="","",IF(T90&lt;TODAY(),"PAST EOS — UNSUPPORTED",IF(T90-TODAY()&lt;=365,"EOS within 12 months","Supported")))</f>
        <v/>
      </c>
      <c r="X90" s="10" t="n"/>
      <c r="Y90" s="10" t="n"/>
      <c r="Z90" s="10" t="n"/>
      <c r="AA90" s="10" t="n"/>
      <c r="AB90" s="10" t="n"/>
      <c r="AC90" s="10" t="n"/>
      <c r="AD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>
        <f>IF(T91="","",T91-TODAY())</f>
        <v/>
      </c>
      <c r="W91" s="10">
        <f>IF(T91="","",IF(T91&lt;TODAY(),"PAST EOS — UNSUPPORTED",IF(T91-TODAY()&lt;=365,"EOS within 12 months","Supported")))</f>
        <v/>
      </c>
      <c r="X91" s="10" t="n"/>
      <c r="Y91" s="10" t="n"/>
      <c r="Z91" s="10" t="n"/>
      <c r="AA91" s="10" t="n"/>
      <c r="AB91" s="10" t="n"/>
      <c r="AC91" s="10" t="n"/>
      <c r="AD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>
        <f>IF(T92="","",T92-TODAY())</f>
        <v/>
      </c>
      <c r="W92" s="10">
        <f>IF(T92="","",IF(T92&lt;TODAY(),"PAST EOS — UNSUPPORTED",IF(T92-TODAY()&lt;=365,"EOS within 12 months","Supported")))</f>
        <v/>
      </c>
      <c r="X92" s="10" t="n"/>
      <c r="Y92" s="10" t="n"/>
      <c r="Z92" s="10" t="n"/>
      <c r="AA92" s="10" t="n"/>
      <c r="AB92" s="10" t="n"/>
      <c r="AC92" s="10" t="n"/>
      <c r="AD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>
        <f>IF(T93="","",T93-TODAY())</f>
        <v/>
      </c>
      <c r="W93" s="10">
        <f>IF(T93="","",IF(T93&lt;TODAY(),"PAST EOS — UNSUPPORTED",IF(T93-TODAY()&lt;=365,"EOS within 12 months","Supported")))</f>
        <v/>
      </c>
      <c r="X93" s="10" t="n"/>
      <c r="Y93" s="10" t="n"/>
      <c r="Z93" s="10" t="n"/>
      <c r="AA93" s="10" t="n"/>
      <c r="AB93" s="10" t="n"/>
      <c r="AC93" s="10" t="n"/>
      <c r="AD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>
        <f>IF(T94="","",T94-TODAY())</f>
        <v/>
      </c>
      <c r="W94" s="10">
        <f>IF(T94="","",IF(T94&lt;TODAY(),"PAST EOS — UNSUPPORTED",IF(T94-TODAY()&lt;=365,"EOS within 12 months","Supported")))</f>
        <v/>
      </c>
      <c r="X94" s="10" t="n"/>
      <c r="Y94" s="10" t="n"/>
      <c r="Z94" s="10" t="n"/>
      <c r="AA94" s="10" t="n"/>
      <c r="AB94" s="10" t="n"/>
      <c r="AC94" s="10" t="n"/>
      <c r="AD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>
        <f>IF(T95="","",T95-TODAY())</f>
        <v/>
      </c>
      <c r="W95" s="10">
        <f>IF(T95="","",IF(T95&lt;TODAY(),"PAST EOS — UNSUPPORTED",IF(T95-TODAY()&lt;=365,"EOS within 12 months","Supported")))</f>
        <v/>
      </c>
      <c r="X95" s="10" t="n"/>
      <c r="Y95" s="10" t="n"/>
      <c r="Z95" s="10" t="n"/>
      <c r="AA95" s="10" t="n"/>
      <c r="AB95" s="10" t="n"/>
      <c r="AC95" s="10" t="n"/>
      <c r="AD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>
        <f>IF(T96="","",T96-TODAY())</f>
        <v/>
      </c>
      <c r="W96" s="10">
        <f>IF(T96="","",IF(T96&lt;TODAY(),"PAST EOS — UNSUPPORTED",IF(T96-TODAY()&lt;=365,"EOS within 12 months","Supported")))</f>
        <v/>
      </c>
      <c r="X96" s="10" t="n"/>
      <c r="Y96" s="10" t="n"/>
      <c r="Z96" s="10" t="n"/>
      <c r="AA96" s="10" t="n"/>
      <c r="AB96" s="10" t="n"/>
      <c r="AC96" s="10" t="n"/>
      <c r="AD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>
        <f>IF(T97="","",T97-TODAY())</f>
        <v/>
      </c>
      <c r="W97" s="10">
        <f>IF(T97="","",IF(T97&lt;TODAY(),"PAST EOS — UNSUPPORTED",IF(T97-TODAY()&lt;=365,"EOS within 12 months","Supported")))</f>
        <v/>
      </c>
      <c r="X97" s="10" t="n"/>
      <c r="Y97" s="10" t="n"/>
      <c r="Z97" s="10" t="n"/>
      <c r="AA97" s="10" t="n"/>
      <c r="AB97" s="10" t="n"/>
      <c r="AC97" s="10" t="n"/>
      <c r="AD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>
        <f>IF(T98="","",T98-TODAY())</f>
        <v/>
      </c>
      <c r="W98" s="10">
        <f>IF(T98="","",IF(T98&lt;TODAY(),"PAST EOS — UNSUPPORTED",IF(T98-TODAY()&lt;=365,"EOS within 12 months","Supported")))</f>
        <v/>
      </c>
      <c r="X98" s="10" t="n"/>
      <c r="Y98" s="10" t="n"/>
      <c r="Z98" s="10" t="n"/>
      <c r="AA98" s="10" t="n"/>
      <c r="AB98" s="10" t="n"/>
      <c r="AC98" s="10" t="n"/>
      <c r="AD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>
        <f>IF(T99="","",T99-TODAY())</f>
        <v/>
      </c>
      <c r="W99" s="10">
        <f>IF(T99="","",IF(T99&lt;TODAY(),"PAST EOS — UNSUPPORTED",IF(T99-TODAY()&lt;=365,"EOS within 12 months","Supported")))</f>
        <v/>
      </c>
      <c r="X99" s="10" t="n"/>
      <c r="Y99" s="10" t="n"/>
      <c r="Z99" s="10" t="n"/>
      <c r="AA99" s="10" t="n"/>
      <c r="AB99" s="10" t="n"/>
      <c r="AC99" s="10" t="n"/>
      <c r="AD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>
        <f>IF(T100="","",T100-TODAY())</f>
        <v/>
      </c>
      <c r="W100" s="10">
        <f>IF(T100="","",IF(T100&lt;TODAY(),"PAST EOS — UNSUPPORTED",IF(T100-TODAY()&lt;=365,"EOS within 12 months","Supported")))</f>
        <v/>
      </c>
      <c r="X100" s="10" t="n"/>
      <c r="Y100" s="10" t="n"/>
      <c r="Z100" s="10" t="n"/>
      <c r="AA100" s="10" t="n"/>
      <c r="AB100" s="10" t="n"/>
      <c r="AC100" s="10" t="n"/>
      <c r="AD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>
        <f>IF(T101="","",T101-TODAY())</f>
        <v/>
      </c>
      <c r="W101" s="10">
        <f>IF(T101="","",IF(T101&lt;TODAY(),"PAST EOS — UNSUPPORTED",IF(T101-TODAY()&lt;=365,"EOS within 12 months","Supported")))</f>
        <v/>
      </c>
      <c r="X101" s="10" t="n"/>
      <c r="Y101" s="10" t="n"/>
      <c r="Z101" s="10" t="n"/>
      <c r="AA101" s="10" t="n"/>
      <c r="AB101" s="10" t="n"/>
      <c r="AC101" s="10" t="n"/>
      <c r="AD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>
        <f>IF(T102="","",T102-TODAY())</f>
        <v/>
      </c>
      <c r="W102" s="10">
        <f>IF(T102="","",IF(T102&lt;TODAY(),"PAST EOS — UNSUPPORTED",IF(T102-TODAY()&lt;=365,"EOS within 12 months","Supported")))</f>
        <v/>
      </c>
      <c r="X102" s="10" t="n"/>
      <c r="Y102" s="10" t="n"/>
      <c r="Z102" s="10" t="n"/>
      <c r="AA102" s="10" t="n"/>
      <c r="AB102" s="10" t="n"/>
      <c r="AC102" s="10" t="n"/>
      <c r="AD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>
        <f>IF(T103="","",T103-TODAY())</f>
        <v/>
      </c>
      <c r="W103" s="10">
        <f>IF(T103="","",IF(T103&lt;TODAY(),"PAST EOS — UNSUPPORTED",IF(T103-TODAY()&lt;=365,"EOS within 12 months","Supported")))</f>
        <v/>
      </c>
      <c r="X103" s="10" t="n"/>
      <c r="Y103" s="10" t="n"/>
      <c r="Z103" s="10" t="n"/>
      <c r="AA103" s="10" t="n"/>
      <c r="AB103" s="10" t="n"/>
      <c r="AC103" s="10" t="n"/>
      <c r="AD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>
        <f>IF(T104="","",T104-TODAY())</f>
        <v/>
      </c>
      <c r="W104" s="10">
        <f>IF(T104="","",IF(T104&lt;TODAY(),"PAST EOS — UNSUPPORTED",IF(T104-TODAY()&lt;=365,"EOS within 12 months","Supported")))</f>
        <v/>
      </c>
      <c r="X104" s="10" t="n"/>
      <c r="Y104" s="10" t="n"/>
      <c r="Z104" s="10" t="n"/>
      <c r="AA104" s="10" t="n"/>
      <c r="AB104" s="10" t="n"/>
      <c r="AC104" s="10" t="n"/>
      <c r="AD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>
        <f>IF(T105="","",T105-TODAY())</f>
        <v/>
      </c>
      <c r="W105" s="10">
        <f>IF(T105="","",IF(T105&lt;TODAY(),"PAST EOS — UNSUPPORTED",IF(T105-TODAY()&lt;=365,"EOS within 12 months","Supported")))</f>
        <v/>
      </c>
      <c r="X105" s="10" t="n"/>
      <c r="Y105" s="10" t="n"/>
      <c r="Z105" s="10" t="n"/>
      <c r="AA105" s="10" t="n"/>
      <c r="AB105" s="10" t="n"/>
      <c r="AC105" s="10" t="n"/>
      <c r="AD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>
        <f>IF(T106="","",T106-TODAY())</f>
        <v/>
      </c>
      <c r="W106" s="10">
        <f>IF(T106="","",IF(T106&lt;TODAY(),"PAST EOS — UNSUPPORTED",IF(T106-TODAY()&lt;=365,"EOS within 12 months","Supported")))</f>
        <v/>
      </c>
      <c r="X106" s="10" t="n"/>
      <c r="Y106" s="10" t="n"/>
      <c r="Z106" s="10" t="n"/>
      <c r="AA106" s="10" t="n"/>
      <c r="AB106" s="10" t="n"/>
      <c r="AC106" s="10" t="n"/>
      <c r="AD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>
        <f>IF(T107="","",T107-TODAY())</f>
        <v/>
      </c>
      <c r="W107" s="10">
        <f>IF(T107="","",IF(T107&lt;TODAY(),"PAST EOS — UNSUPPORTED",IF(T107-TODAY()&lt;=365,"EOS within 12 months","Supported")))</f>
        <v/>
      </c>
      <c r="X107" s="10" t="n"/>
      <c r="Y107" s="10" t="n"/>
      <c r="Z107" s="10" t="n"/>
      <c r="AA107" s="10" t="n"/>
      <c r="AB107" s="10" t="n"/>
      <c r="AC107" s="10" t="n"/>
      <c r="AD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>
        <f>IF(T108="","",T108-TODAY())</f>
        <v/>
      </c>
      <c r="W108" s="10">
        <f>IF(T108="","",IF(T108&lt;TODAY(),"PAST EOS — UNSUPPORTED",IF(T108-TODAY()&lt;=365,"EOS within 12 months","Supported")))</f>
        <v/>
      </c>
      <c r="X108" s="10" t="n"/>
      <c r="Y108" s="10" t="n"/>
      <c r="Z108" s="10" t="n"/>
      <c r="AA108" s="10" t="n"/>
      <c r="AB108" s="10" t="n"/>
      <c r="AC108" s="10" t="n"/>
      <c r="AD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>
        <f>IF(T109="","",T109-TODAY())</f>
        <v/>
      </c>
      <c r="W109" s="10">
        <f>IF(T109="","",IF(T109&lt;TODAY(),"PAST EOS — UNSUPPORTED",IF(T109-TODAY()&lt;=365,"EOS within 12 months","Supported")))</f>
        <v/>
      </c>
      <c r="X109" s="10" t="n"/>
      <c r="Y109" s="10" t="n"/>
      <c r="Z109" s="10" t="n"/>
      <c r="AA109" s="10" t="n"/>
      <c r="AB109" s="10" t="n"/>
      <c r="AC109" s="10" t="n"/>
      <c r="AD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>
        <f>IF(T110="","",T110-TODAY())</f>
        <v/>
      </c>
      <c r="W110" s="10">
        <f>IF(T110="","",IF(T110&lt;TODAY(),"PAST EOS — UNSUPPORTED",IF(T110-TODAY()&lt;=365,"EOS within 12 months","Supported")))</f>
        <v/>
      </c>
      <c r="X110" s="10" t="n"/>
      <c r="Y110" s="10" t="n"/>
      <c r="Z110" s="10" t="n"/>
      <c r="AA110" s="10" t="n"/>
      <c r="AB110" s="10" t="n"/>
      <c r="AC110" s="10" t="n"/>
      <c r="AD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>
        <f>IF(T111="","",T111-TODAY())</f>
        <v/>
      </c>
      <c r="W111" s="10">
        <f>IF(T111="","",IF(T111&lt;TODAY(),"PAST EOS — UNSUPPORTED",IF(T111-TODAY()&lt;=365,"EOS within 12 months","Supported")))</f>
        <v/>
      </c>
      <c r="X111" s="10" t="n"/>
      <c r="Y111" s="10" t="n"/>
      <c r="Z111" s="10" t="n"/>
      <c r="AA111" s="10" t="n"/>
      <c r="AB111" s="10" t="n"/>
      <c r="AC111" s="10" t="n"/>
      <c r="AD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>
        <f>IF(T112="","",T112-TODAY())</f>
        <v/>
      </c>
      <c r="W112" s="10">
        <f>IF(T112="","",IF(T112&lt;TODAY(),"PAST EOS — UNSUPPORTED",IF(T112-TODAY()&lt;=365,"EOS within 12 months","Supported")))</f>
        <v/>
      </c>
      <c r="X112" s="10" t="n"/>
      <c r="Y112" s="10" t="n"/>
      <c r="Z112" s="10" t="n"/>
      <c r="AA112" s="10" t="n"/>
      <c r="AB112" s="10" t="n"/>
      <c r="AC112" s="10" t="n"/>
      <c r="AD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>
        <f>IF(T113="","",T113-TODAY())</f>
        <v/>
      </c>
      <c r="W113" s="10">
        <f>IF(T113="","",IF(T113&lt;TODAY(),"PAST EOS — UNSUPPORTED",IF(T113-TODAY()&lt;=365,"EOS within 12 months","Supported")))</f>
        <v/>
      </c>
      <c r="X113" s="10" t="n"/>
      <c r="Y113" s="10" t="n"/>
      <c r="Z113" s="10" t="n"/>
      <c r="AA113" s="10" t="n"/>
      <c r="AB113" s="10" t="n"/>
      <c r="AC113" s="10" t="n"/>
      <c r="AD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>
        <f>IF(T114="","",T114-TODAY())</f>
        <v/>
      </c>
      <c r="W114" s="10">
        <f>IF(T114="","",IF(T114&lt;TODAY(),"PAST EOS — UNSUPPORTED",IF(T114-TODAY()&lt;=365,"EOS within 12 months","Supported")))</f>
        <v/>
      </c>
      <c r="X114" s="10" t="n"/>
      <c r="Y114" s="10" t="n"/>
      <c r="Z114" s="10" t="n"/>
      <c r="AA114" s="10" t="n"/>
      <c r="AB114" s="10" t="n"/>
      <c r="AC114" s="10" t="n"/>
      <c r="AD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>
        <f>IF(T115="","",T115-TODAY())</f>
        <v/>
      </c>
      <c r="W115" s="10">
        <f>IF(T115="","",IF(T115&lt;TODAY(),"PAST EOS — UNSUPPORTED",IF(T115-TODAY()&lt;=365,"EOS within 12 months","Supported")))</f>
        <v/>
      </c>
      <c r="X115" s="10" t="n"/>
      <c r="Y115" s="10" t="n"/>
      <c r="Z115" s="10" t="n"/>
      <c r="AA115" s="10" t="n"/>
      <c r="AB115" s="10" t="n"/>
      <c r="AC115" s="10" t="n"/>
      <c r="AD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>
        <f>IF(T116="","",T116-TODAY())</f>
        <v/>
      </c>
      <c r="W116" s="10">
        <f>IF(T116="","",IF(T116&lt;TODAY(),"PAST EOS — UNSUPPORTED",IF(T116-TODAY()&lt;=365,"EOS within 12 months","Supported")))</f>
        <v/>
      </c>
      <c r="X116" s="10" t="n"/>
      <c r="Y116" s="10" t="n"/>
      <c r="Z116" s="10" t="n"/>
      <c r="AA116" s="10" t="n"/>
      <c r="AB116" s="10" t="n"/>
      <c r="AC116" s="10" t="n"/>
      <c r="AD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>
        <f>IF(T117="","",T117-TODAY())</f>
        <v/>
      </c>
      <c r="W117" s="10">
        <f>IF(T117="","",IF(T117&lt;TODAY(),"PAST EOS — UNSUPPORTED",IF(T117-TODAY()&lt;=365,"EOS within 12 months","Supported")))</f>
        <v/>
      </c>
      <c r="X117" s="10" t="n"/>
      <c r="Y117" s="10" t="n"/>
      <c r="Z117" s="10" t="n"/>
      <c r="AA117" s="10" t="n"/>
      <c r="AB117" s="10" t="n"/>
      <c r="AC117" s="10" t="n"/>
      <c r="AD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>
        <f>IF(T118="","",T118-TODAY())</f>
        <v/>
      </c>
      <c r="W118" s="10">
        <f>IF(T118="","",IF(T118&lt;TODAY(),"PAST EOS — UNSUPPORTED",IF(T118-TODAY()&lt;=365,"EOS within 12 months","Supported")))</f>
        <v/>
      </c>
      <c r="X118" s="10" t="n"/>
      <c r="Y118" s="10" t="n"/>
      <c r="Z118" s="10" t="n"/>
      <c r="AA118" s="10" t="n"/>
      <c r="AB118" s="10" t="n"/>
      <c r="AC118" s="10" t="n"/>
      <c r="AD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>
        <f>IF(T119="","",T119-TODAY())</f>
        <v/>
      </c>
      <c r="W119" s="10">
        <f>IF(T119="","",IF(T119&lt;TODAY(),"PAST EOS — UNSUPPORTED",IF(T119-TODAY()&lt;=365,"EOS within 12 months","Supported")))</f>
        <v/>
      </c>
      <c r="X119" s="10" t="n"/>
      <c r="Y119" s="10" t="n"/>
      <c r="Z119" s="10" t="n"/>
      <c r="AA119" s="10" t="n"/>
      <c r="AB119" s="10" t="n"/>
      <c r="AC119" s="10" t="n"/>
      <c r="AD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>
        <f>IF(T120="","",T120-TODAY())</f>
        <v/>
      </c>
      <c r="W120" s="10">
        <f>IF(T120="","",IF(T120&lt;TODAY(),"PAST EOS — UNSUPPORTED",IF(T120-TODAY()&lt;=365,"EOS within 12 months","Supported")))</f>
        <v/>
      </c>
      <c r="X120" s="10" t="n"/>
      <c r="Y120" s="10" t="n"/>
      <c r="Z120" s="10" t="n"/>
      <c r="AA120" s="10" t="n"/>
      <c r="AB120" s="10" t="n"/>
      <c r="AC120" s="10" t="n"/>
      <c r="AD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>
        <f>IF(T121="","",T121-TODAY())</f>
        <v/>
      </c>
      <c r="W121" s="10">
        <f>IF(T121="","",IF(T121&lt;TODAY(),"PAST EOS — UNSUPPORTED",IF(T121-TODAY()&lt;=365,"EOS within 12 months","Supported")))</f>
        <v/>
      </c>
      <c r="X121" s="10" t="n"/>
      <c r="Y121" s="10" t="n"/>
      <c r="Z121" s="10" t="n"/>
      <c r="AA121" s="10" t="n"/>
      <c r="AB121" s="10" t="n"/>
      <c r="AC121" s="10" t="n"/>
      <c r="AD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>
        <f>IF(T122="","",T122-TODAY())</f>
        <v/>
      </c>
      <c r="W122" s="10">
        <f>IF(T122="","",IF(T122&lt;TODAY(),"PAST EOS — UNSUPPORTED",IF(T122-TODAY()&lt;=365,"EOS within 12 months","Supported")))</f>
        <v/>
      </c>
      <c r="X122" s="10" t="n"/>
      <c r="Y122" s="10" t="n"/>
      <c r="Z122" s="10" t="n"/>
      <c r="AA122" s="10" t="n"/>
      <c r="AB122" s="10" t="n"/>
      <c r="AC122" s="10" t="n"/>
      <c r="AD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>
        <f>IF(T123="","",T123-TODAY())</f>
        <v/>
      </c>
      <c r="W123" s="10">
        <f>IF(T123="","",IF(T123&lt;TODAY(),"PAST EOS — UNSUPPORTED",IF(T123-TODAY()&lt;=365,"EOS within 12 months","Supported")))</f>
        <v/>
      </c>
      <c r="X123" s="10" t="n"/>
      <c r="Y123" s="10" t="n"/>
      <c r="Z123" s="10" t="n"/>
      <c r="AA123" s="10" t="n"/>
      <c r="AB123" s="10" t="n"/>
      <c r="AC123" s="10" t="n"/>
      <c r="AD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>
        <f>IF(T124="","",T124-TODAY())</f>
        <v/>
      </c>
      <c r="W124" s="10">
        <f>IF(T124="","",IF(T124&lt;TODAY(),"PAST EOS — UNSUPPORTED",IF(T124-TODAY()&lt;=365,"EOS within 12 months","Supported")))</f>
        <v/>
      </c>
      <c r="X124" s="10" t="n"/>
      <c r="Y124" s="10" t="n"/>
      <c r="Z124" s="10" t="n"/>
      <c r="AA124" s="10" t="n"/>
      <c r="AB124" s="10" t="n"/>
      <c r="AC124" s="10" t="n"/>
      <c r="AD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>
        <f>IF(T125="","",T125-TODAY())</f>
        <v/>
      </c>
      <c r="W125" s="10">
        <f>IF(T125="","",IF(T125&lt;TODAY(),"PAST EOS — UNSUPPORTED",IF(T125-TODAY()&lt;=365,"EOS within 12 months","Supported")))</f>
        <v/>
      </c>
      <c r="X125" s="10" t="n"/>
      <c r="Y125" s="10" t="n"/>
      <c r="Z125" s="10" t="n"/>
      <c r="AA125" s="10" t="n"/>
      <c r="AB125" s="10" t="n"/>
      <c r="AC125" s="10" t="n"/>
      <c r="AD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>
        <f>IF(T126="","",T126-TODAY())</f>
        <v/>
      </c>
      <c r="W126" s="10">
        <f>IF(T126="","",IF(T126&lt;TODAY(),"PAST EOS — UNSUPPORTED",IF(T126-TODAY()&lt;=365,"EOS within 12 months","Supported")))</f>
        <v/>
      </c>
      <c r="X126" s="10" t="n"/>
      <c r="Y126" s="10" t="n"/>
      <c r="Z126" s="10" t="n"/>
      <c r="AA126" s="10" t="n"/>
      <c r="AB126" s="10" t="n"/>
      <c r="AC126" s="10" t="n"/>
      <c r="AD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>
        <f>IF(T127="","",T127-TODAY())</f>
        <v/>
      </c>
      <c r="W127" s="10">
        <f>IF(T127="","",IF(T127&lt;TODAY(),"PAST EOS — UNSUPPORTED",IF(T127-TODAY()&lt;=365,"EOS within 12 months","Supported")))</f>
        <v/>
      </c>
      <c r="X127" s="10" t="n"/>
      <c r="Y127" s="10" t="n"/>
      <c r="Z127" s="10" t="n"/>
      <c r="AA127" s="10" t="n"/>
      <c r="AB127" s="10" t="n"/>
      <c r="AC127" s="10" t="n"/>
      <c r="AD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>
        <f>IF(T128="","",T128-TODAY())</f>
        <v/>
      </c>
      <c r="W128" s="10">
        <f>IF(T128="","",IF(T128&lt;TODAY(),"PAST EOS — UNSUPPORTED",IF(T128-TODAY()&lt;=365,"EOS within 12 months","Supported")))</f>
        <v/>
      </c>
      <c r="X128" s="10" t="n"/>
      <c r="Y128" s="10" t="n"/>
      <c r="Z128" s="10" t="n"/>
      <c r="AA128" s="10" t="n"/>
      <c r="AB128" s="10" t="n"/>
      <c r="AC128" s="10" t="n"/>
      <c r="AD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>
        <f>IF(T129="","",T129-TODAY())</f>
        <v/>
      </c>
      <c r="W129" s="10">
        <f>IF(T129="","",IF(T129&lt;TODAY(),"PAST EOS — UNSUPPORTED",IF(T129-TODAY()&lt;=365,"EOS within 12 months","Supported")))</f>
        <v/>
      </c>
      <c r="X129" s="10" t="n"/>
      <c r="Y129" s="10" t="n"/>
      <c r="Z129" s="10" t="n"/>
      <c r="AA129" s="10" t="n"/>
      <c r="AB129" s="10" t="n"/>
      <c r="AC129" s="10" t="n"/>
      <c r="AD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>
        <f>IF(T130="","",T130-TODAY())</f>
        <v/>
      </c>
      <c r="W130" s="10">
        <f>IF(T130="","",IF(T130&lt;TODAY(),"PAST EOS — UNSUPPORTED",IF(T130-TODAY()&lt;=365,"EOS within 12 months","Supported")))</f>
        <v/>
      </c>
      <c r="X130" s="10" t="n"/>
      <c r="Y130" s="10" t="n"/>
      <c r="Z130" s="10" t="n"/>
      <c r="AA130" s="10" t="n"/>
      <c r="AB130" s="10" t="n"/>
      <c r="AC130" s="10" t="n"/>
      <c r="AD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>
        <f>IF(T131="","",T131-TODAY())</f>
        <v/>
      </c>
      <c r="W131" s="10">
        <f>IF(T131="","",IF(T131&lt;TODAY(),"PAST EOS — UNSUPPORTED",IF(T131-TODAY()&lt;=365,"EOS within 12 months","Supported")))</f>
        <v/>
      </c>
      <c r="X131" s="10" t="n"/>
      <c r="Y131" s="10" t="n"/>
      <c r="Z131" s="10" t="n"/>
      <c r="AA131" s="10" t="n"/>
      <c r="AB131" s="10" t="n"/>
      <c r="AC131" s="10" t="n"/>
      <c r="AD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>
        <f>IF(T132="","",T132-TODAY())</f>
        <v/>
      </c>
      <c r="W132" s="10">
        <f>IF(T132="","",IF(T132&lt;TODAY(),"PAST EOS — UNSUPPORTED",IF(T132-TODAY()&lt;=365,"EOS within 12 months","Supported")))</f>
        <v/>
      </c>
      <c r="X132" s="10" t="n"/>
      <c r="Y132" s="10" t="n"/>
      <c r="Z132" s="10" t="n"/>
      <c r="AA132" s="10" t="n"/>
      <c r="AB132" s="10" t="n"/>
      <c r="AC132" s="10" t="n"/>
      <c r="AD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>
        <f>IF(T133="","",T133-TODAY())</f>
        <v/>
      </c>
      <c r="W133" s="10">
        <f>IF(T133="","",IF(T133&lt;TODAY(),"PAST EOS — UNSUPPORTED",IF(T133-TODAY()&lt;=365,"EOS within 12 months","Supported")))</f>
        <v/>
      </c>
      <c r="X133" s="10" t="n"/>
      <c r="Y133" s="10" t="n"/>
      <c r="Z133" s="10" t="n"/>
      <c r="AA133" s="10" t="n"/>
      <c r="AB133" s="10" t="n"/>
      <c r="AC133" s="10" t="n"/>
      <c r="AD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>
        <f>IF(T134="","",T134-TODAY())</f>
        <v/>
      </c>
      <c r="W134" s="10">
        <f>IF(T134="","",IF(T134&lt;TODAY(),"PAST EOS — UNSUPPORTED",IF(T134-TODAY()&lt;=365,"EOS within 12 months","Supported")))</f>
        <v/>
      </c>
      <c r="X134" s="10" t="n"/>
      <c r="Y134" s="10" t="n"/>
      <c r="Z134" s="10" t="n"/>
      <c r="AA134" s="10" t="n"/>
      <c r="AB134" s="10" t="n"/>
      <c r="AC134" s="10" t="n"/>
      <c r="AD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>
        <f>IF(T135="","",T135-TODAY())</f>
        <v/>
      </c>
      <c r="W135" s="10">
        <f>IF(T135="","",IF(T135&lt;TODAY(),"PAST EOS — UNSUPPORTED",IF(T135-TODAY()&lt;=365,"EOS within 12 months","Supported")))</f>
        <v/>
      </c>
      <c r="X135" s="10" t="n"/>
      <c r="Y135" s="10" t="n"/>
      <c r="Z135" s="10" t="n"/>
      <c r="AA135" s="10" t="n"/>
      <c r="AB135" s="10" t="n"/>
      <c r="AC135" s="10" t="n"/>
      <c r="AD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>
        <f>IF(T136="","",T136-TODAY())</f>
        <v/>
      </c>
      <c r="W136" s="10">
        <f>IF(T136="","",IF(T136&lt;TODAY(),"PAST EOS — UNSUPPORTED",IF(T136-TODAY()&lt;=365,"EOS within 12 months","Supported")))</f>
        <v/>
      </c>
      <c r="X136" s="10" t="n"/>
      <c r="Y136" s="10" t="n"/>
      <c r="Z136" s="10" t="n"/>
      <c r="AA136" s="10" t="n"/>
      <c r="AB136" s="10" t="n"/>
      <c r="AC136" s="10" t="n"/>
      <c r="AD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>
        <f>IF(T137="","",T137-TODAY())</f>
        <v/>
      </c>
      <c r="W137" s="10">
        <f>IF(T137="","",IF(T137&lt;TODAY(),"PAST EOS — UNSUPPORTED",IF(T137-TODAY()&lt;=365,"EOS within 12 months","Supported")))</f>
        <v/>
      </c>
      <c r="X137" s="10" t="n"/>
      <c r="Y137" s="10" t="n"/>
      <c r="Z137" s="10" t="n"/>
      <c r="AA137" s="10" t="n"/>
      <c r="AB137" s="10" t="n"/>
      <c r="AC137" s="10" t="n"/>
      <c r="AD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>
        <f>IF(T138="","",T138-TODAY())</f>
        <v/>
      </c>
      <c r="W138" s="10">
        <f>IF(T138="","",IF(T138&lt;TODAY(),"PAST EOS — UNSUPPORTED",IF(T138-TODAY()&lt;=365,"EOS within 12 months","Supported")))</f>
        <v/>
      </c>
      <c r="X138" s="10" t="n"/>
      <c r="Y138" s="10" t="n"/>
      <c r="Z138" s="10" t="n"/>
      <c r="AA138" s="10" t="n"/>
      <c r="AB138" s="10" t="n"/>
      <c r="AC138" s="10" t="n"/>
      <c r="AD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>
        <f>IF(T139="","",T139-TODAY())</f>
        <v/>
      </c>
      <c r="W139" s="10">
        <f>IF(T139="","",IF(T139&lt;TODAY(),"PAST EOS — UNSUPPORTED",IF(T139-TODAY()&lt;=365,"EOS within 12 months","Supported")))</f>
        <v/>
      </c>
      <c r="X139" s="10" t="n"/>
      <c r="Y139" s="10" t="n"/>
      <c r="Z139" s="10" t="n"/>
      <c r="AA139" s="10" t="n"/>
      <c r="AB139" s="10" t="n"/>
      <c r="AC139" s="10" t="n"/>
      <c r="AD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>
        <f>IF(T140="","",T140-TODAY())</f>
        <v/>
      </c>
      <c r="W140" s="10">
        <f>IF(T140="","",IF(T140&lt;TODAY(),"PAST EOS — UNSUPPORTED",IF(T140-TODAY()&lt;=365,"EOS within 12 months","Supported")))</f>
        <v/>
      </c>
      <c r="X140" s="10" t="n"/>
      <c r="Y140" s="10" t="n"/>
      <c r="Z140" s="10" t="n"/>
      <c r="AA140" s="10" t="n"/>
      <c r="AB140" s="10" t="n"/>
      <c r="AC140" s="10" t="n"/>
      <c r="AD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>
        <f>IF(T141="","",T141-TODAY())</f>
        <v/>
      </c>
      <c r="W141" s="10">
        <f>IF(T141="","",IF(T141&lt;TODAY(),"PAST EOS — UNSUPPORTED",IF(T141-TODAY()&lt;=365,"EOS within 12 months","Supported")))</f>
        <v/>
      </c>
      <c r="X141" s="10" t="n"/>
      <c r="Y141" s="10" t="n"/>
      <c r="Z141" s="10" t="n"/>
      <c r="AA141" s="10" t="n"/>
      <c r="AB141" s="10" t="n"/>
      <c r="AC141" s="10" t="n"/>
      <c r="AD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>
        <f>IF(T142="","",T142-TODAY())</f>
        <v/>
      </c>
      <c r="W142" s="10">
        <f>IF(T142="","",IF(T142&lt;TODAY(),"PAST EOS — UNSUPPORTED",IF(T142-TODAY()&lt;=365,"EOS within 12 months","Supported")))</f>
        <v/>
      </c>
      <c r="X142" s="10" t="n"/>
      <c r="Y142" s="10" t="n"/>
      <c r="Z142" s="10" t="n"/>
      <c r="AA142" s="10" t="n"/>
      <c r="AB142" s="10" t="n"/>
      <c r="AC142" s="10" t="n"/>
      <c r="AD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>
        <f>IF(T143="","",T143-TODAY())</f>
        <v/>
      </c>
      <c r="W143" s="10">
        <f>IF(T143="","",IF(T143&lt;TODAY(),"PAST EOS — UNSUPPORTED",IF(T143-TODAY()&lt;=365,"EOS within 12 months","Supported")))</f>
        <v/>
      </c>
      <c r="X143" s="10" t="n"/>
      <c r="Y143" s="10" t="n"/>
      <c r="Z143" s="10" t="n"/>
      <c r="AA143" s="10" t="n"/>
      <c r="AB143" s="10" t="n"/>
      <c r="AC143" s="10" t="n"/>
      <c r="AD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>
        <f>IF(T144="","",T144-TODAY())</f>
        <v/>
      </c>
      <c r="W144" s="10">
        <f>IF(T144="","",IF(T144&lt;TODAY(),"PAST EOS — UNSUPPORTED",IF(T144-TODAY()&lt;=365,"EOS within 12 months","Supported")))</f>
        <v/>
      </c>
      <c r="X144" s="10" t="n"/>
      <c r="Y144" s="10" t="n"/>
      <c r="Z144" s="10" t="n"/>
      <c r="AA144" s="10" t="n"/>
      <c r="AB144" s="10" t="n"/>
      <c r="AC144" s="10" t="n"/>
      <c r="AD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>
        <f>IF(T145="","",T145-TODAY())</f>
        <v/>
      </c>
      <c r="W145" s="10">
        <f>IF(T145="","",IF(T145&lt;TODAY(),"PAST EOS — UNSUPPORTED",IF(T145-TODAY()&lt;=365,"EOS within 12 months","Supported")))</f>
        <v/>
      </c>
      <c r="X145" s="10" t="n"/>
      <c r="Y145" s="10" t="n"/>
      <c r="Z145" s="10" t="n"/>
      <c r="AA145" s="10" t="n"/>
      <c r="AB145" s="10" t="n"/>
      <c r="AC145" s="10" t="n"/>
      <c r="AD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>
        <f>IF(T146="","",T146-TODAY())</f>
        <v/>
      </c>
      <c r="W146" s="10">
        <f>IF(T146="","",IF(T146&lt;TODAY(),"PAST EOS — UNSUPPORTED",IF(T146-TODAY()&lt;=365,"EOS within 12 months","Supported")))</f>
        <v/>
      </c>
      <c r="X146" s="10" t="n"/>
      <c r="Y146" s="10" t="n"/>
      <c r="Z146" s="10" t="n"/>
      <c r="AA146" s="10" t="n"/>
      <c r="AB146" s="10" t="n"/>
      <c r="AC146" s="10" t="n"/>
      <c r="AD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>
        <f>IF(T147="","",T147-TODAY())</f>
        <v/>
      </c>
      <c r="W147" s="10">
        <f>IF(T147="","",IF(T147&lt;TODAY(),"PAST EOS — UNSUPPORTED",IF(T147-TODAY()&lt;=365,"EOS within 12 months","Supported")))</f>
        <v/>
      </c>
      <c r="X147" s="10" t="n"/>
      <c r="Y147" s="10" t="n"/>
      <c r="Z147" s="10" t="n"/>
      <c r="AA147" s="10" t="n"/>
      <c r="AB147" s="10" t="n"/>
      <c r="AC147" s="10" t="n"/>
      <c r="AD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>
        <f>IF(T148="","",T148-TODAY())</f>
        <v/>
      </c>
      <c r="W148" s="10">
        <f>IF(T148="","",IF(T148&lt;TODAY(),"PAST EOS — UNSUPPORTED",IF(T148-TODAY()&lt;=365,"EOS within 12 months","Supported")))</f>
        <v/>
      </c>
      <c r="X148" s="10" t="n"/>
      <c r="Y148" s="10" t="n"/>
      <c r="Z148" s="10" t="n"/>
      <c r="AA148" s="10" t="n"/>
      <c r="AB148" s="10" t="n"/>
      <c r="AC148" s="10" t="n"/>
      <c r="AD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>
        <f>IF(T149="","",T149-TODAY())</f>
        <v/>
      </c>
      <c r="W149" s="10">
        <f>IF(T149="","",IF(T149&lt;TODAY(),"PAST EOS — UNSUPPORTED",IF(T149-TODAY()&lt;=365,"EOS within 12 months","Supported")))</f>
        <v/>
      </c>
      <c r="X149" s="10" t="n"/>
      <c r="Y149" s="10" t="n"/>
      <c r="Z149" s="10" t="n"/>
      <c r="AA149" s="10" t="n"/>
      <c r="AB149" s="10" t="n"/>
      <c r="AC149" s="10" t="n"/>
      <c r="AD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>
        <f>IF(T150="","",T150-TODAY())</f>
        <v/>
      </c>
      <c r="W150" s="10">
        <f>IF(T150="","",IF(T150&lt;TODAY(),"PAST EOS — UNSUPPORTED",IF(T150-TODAY()&lt;=365,"EOS within 12 months","Supported")))</f>
        <v/>
      </c>
      <c r="X150" s="10" t="n"/>
      <c r="Y150" s="10" t="n"/>
      <c r="Z150" s="10" t="n"/>
      <c r="AA150" s="10" t="n"/>
      <c r="AB150" s="10" t="n"/>
      <c r="AC150" s="10" t="n"/>
      <c r="AD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>
        <f>IF(T151="","",T151-TODAY())</f>
        <v/>
      </c>
      <c r="W151" s="10">
        <f>IF(T151="","",IF(T151&lt;TODAY(),"PAST EOS — UNSUPPORTED",IF(T151-TODAY()&lt;=365,"EOS within 12 months","Supported")))</f>
        <v/>
      </c>
      <c r="X151" s="10" t="n"/>
      <c r="Y151" s="10" t="n"/>
      <c r="Z151" s="10" t="n"/>
      <c r="AA151" s="10" t="n"/>
      <c r="AB151" s="10" t="n"/>
      <c r="AC151" s="10" t="n"/>
      <c r="AD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>
        <f>IF(T152="","",T152-TODAY())</f>
        <v/>
      </c>
      <c r="W152" s="10">
        <f>IF(T152="","",IF(T152&lt;TODAY(),"PAST EOS — UNSUPPORTED",IF(T152-TODAY()&lt;=365,"EOS within 12 months","Supported")))</f>
        <v/>
      </c>
      <c r="X152" s="10" t="n"/>
      <c r="Y152" s="10" t="n"/>
      <c r="Z152" s="10" t="n"/>
      <c r="AA152" s="10" t="n"/>
      <c r="AB152" s="10" t="n"/>
      <c r="AC152" s="10" t="n"/>
      <c r="AD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>
        <f>IF(T153="","",T153-TODAY())</f>
        <v/>
      </c>
      <c r="W153" s="10">
        <f>IF(T153="","",IF(T153&lt;TODAY(),"PAST EOS — UNSUPPORTED",IF(T153-TODAY()&lt;=365,"EOS within 12 months","Supported")))</f>
        <v/>
      </c>
      <c r="X153" s="10" t="n"/>
      <c r="Y153" s="10" t="n"/>
      <c r="Z153" s="10" t="n"/>
      <c r="AA153" s="10" t="n"/>
      <c r="AB153" s="10" t="n"/>
      <c r="AC153" s="10" t="n"/>
      <c r="AD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>
        <f>IF(T154="","",T154-TODAY())</f>
        <v/>
      </c>
      <c r="W154" s="10">
        <f>IF(T154="","",IF(T154&lt;TODAY(),"PAST EOS — UNSUPPORTED",IF(T154-TODAY()&lt;=365,"EOS within 12 months","Supported")))</f>
        <v/>
      </c>
      <c r="X154" s="10" t="n"/>
      <c r="Y154" s="10" t="n"/>
      <c r="Z154" s="10" t="n"/>
      <c r="AA154" s="10" t="n"/>
      <c r="AB154" s="10" t="n"/>
      <c r="AC154" s="10" t="n"/>
      <c r="AD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>
        <f>IF(T155="","",T155-TODAY())</f>
        <v/>
      </c>
      <c r="W155" s="10">
        <f>IF(T155="","",IF(T155&lt;TODAY(),"PAST EOS — UNSUPPORTED",IF(T155-TODAY()&lt;=365,"EOS within 12 months","Supported")))</f>
        <v/>
      </c>
      <c r="X155" s="10" t="n"/>
      <c r="Y155" s="10" t="n"/>
      <c r="Z155" s="10" t="n"/>
      <c r="AA155" s="10" t="n"/>
      <c r="AB155" s="10" t="n"/>
      <c r="AC155" s="10" t="n"/>
      <c r="AD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>
        <f>IF(T156="","",T156-TODAY())</f>
        <v/>
      </c>
      <c r="W156" s="10">
        <f>IF(T156="","",IF(T156&lt;TODAY(),"PAST EOS — UNSUPPORTED",IF(T156-TODAY()&lt;=365,"EOS within 12 months","Supported")))</f>
        <v/>
      </c>
      <c r="X156" s="10" t="n"/>
      <c r="Y156" s="10" t="n"/>
      <c r="Z156" s="10" t="n"/>
      <c r="AA156" s="10" t="n"/>
      <c r="AB156" s="10" t="n"/>
      <c r="AC156" s="10" t="n"/>
      <c r="AD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>
        <f>IF(T157="","",T157-TODAY())</f>
        <v/>
      </c>
      <c r="W157" s="10">
        <f>IF(T157="","",IF(T157&lt;TODAY(),"PAST EOS — UNSUPPORTED",IF(T157-TODAY()&lt;=365,"EOS within 12 months","Supported")))</f>
        <v/>
      </c>
      <c r="X157" s="10" t="n"/>
      <c r="Y157" s="10" t="n"/>
      <c r="Z157" s="10" t="n"/>
      <c r="AA157" s="10" t="n"/>
      <c r="AB157" s="10" t="n"/>
      <c r="AC157" s="10" t="n"/>
      <c r="AD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>
        <f>IF(T158="","",T158-TODAY())</f>
        <v/>
      </c>
      <c r="W158" s="10">
        <f>IF(T158="","",IF(T158&lt;TODAY(),"PAST EOS — UNSUPPORTED",IF(T158-TODAY()&lt;=365,"EOS within 12 months","Supported")))</f>
        <v/>
      </c>
      <c r="X158" s="10" t="n"/>
      <c r="Y158" s="10" t="n"/>
      <c r="Z158" s="10" t="n"/>
      <c r="AA158" s="10" t="n"/>
      <c r="AB158" s="10" t="n"/>
      <c r="AC158" s="10" t="n"/>
      <c r="AD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>
        <f>IF(T159="","",T159-TODAY())</f>
        <v/>
      </c>
      <c r="W159" s="10">
        <f>IF(T159="","",IF(T159&lt;TODAY(),"PAST EOS — UNSUPPORTED",IF(T159-TODAY()&lt;=365,"EOS within 12 months","Supported")))</f>
        <v/>
      </c>
      <c r="X159" s="10" t="n"/>
      <c r="Y159" s="10" t="n"/>
      <c r="Z159" s="10" t="n"/>
      <c r="AA159" s="10" t="n"/>
      <c r="AB159" s="10" t="n"/>
      <c r="AC159" s="10" t="n"/>
      <c r="AD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>
        <f>IF(T160="","",T160-TODAY())</f>
        <v/>
      </c>
      <c r="W160" s="10">
        <f>IF(T160="","",IF(T160&lt;TODAY(),"PAST EOS — UNSUPPORTED",IF(T160-TODAY()&lt;=365,"EOS within 12 months","Supported")))</f>
        <v/>
      </c>
      <c r="X160" s="10" t="n"/>
      <c r="Y160" s="10" t="n"/>
      <c r="Z160" s="10" t="n"/>
      <c r="AA160" s="10" t="n"/>
      <c r="AB160" s="10" t="n"/>
      <c r="AC160" s="10" t="n"/>
      <c r="AD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>
        <f>IF(T161="","",T161-TODAY())</f>
        <v/>
      </c>
      <c r="W161" s="10">
        <f>IF(T161="","",IF(T161&lt;TODAY(),"PAST EOS — UNSUPPORTED",IF(T161-TODAY()&lt;=365,"EOS within 12 months","Supported")))</f>
        <v/>
      </c>
      <c r="X161" s="10" t="n"/>
      <c r="Y161" s="10" t="n"/>
      <c r="Z161" s="10" t="n"/>
      <c r="AA161" s="10" t="n"/>
      <c r="AB161" s="10" t="n"/>
      <c r="AC161" s="10" t="n"/>
      <c r="AD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>
        <f>IF(T162="","",T162-TODAY())</f>
        <v/>
      </c>
      <c r="W162" s="10">
        <f>IF(T162="","",IF(T162&lt;TODAY(),"PAST EOS — UNSUPPORTED",IF(T162-TODAY()&lt;=365,"EOS within 12 months","Supported")))</f>
        <v/>
      </c>
      <c r="X162" s="10" t="n"/>
      <c r="Y162" s="10" t="n"/>
      <c r="Z162" s="10" t="n"/>
      <c r="AA162" s="10" t="n"/>
      <c r="AB162" s="10" t="n"/>
      <c r="AC162" s="10" t="n"/>
      <c r="AD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>
        <f>IF(T163="","",T163-TODAY())</f>
        <v/>
      </c>
      <c r="W163" s="10">
        <f>IF(T163="","",IF(T163&lt;TODAY(),"PAST EOS — UNSUPPORTED",IF(T163-TODAY()&lt;=365,"EOS within 12 months","Supported")))</f>
        <v/>
      </c>
      <c r="X163" s="10" t="n"/>
      <c r="Y163" s="10" t="n"/>
      <c r="Z163" s="10" t="n"/>
      <c r="AA163" s="10" t="n"/>
      <c r="AB163" s="10" t="n"/>
      <c r="AC163" s="10" t="n"/>
      <c r="AD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>
        <f>IF(T164="","",T164-TODAY())</f>
        <v/>
      </c>
      <c r="W164" s="10">
        <f>IF(T164="","",IF(T164&lt;TODAY(),"PAST EOS — UNSUPPORTED",IF(T164-TODAY()&lt;=365,"EOS within 12 months","Supported")))</f>
        <v/>
      </c>
      <c r="X164" s="10" t="n"/>
      <c r="Y164" s="10" t="n"/>
      <c r="Z164" s="10" t="n"/>
      <c r="AA164" s="10" t="n"/>
      <c r="AB164" s="10" t="n"/>
      <c r="AC164" s="10" t="n"/>
      <c r="AD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>
        <f>IF(T165="","",T165-TODAY())</f>
        <v/>
      </c>
      <c r="W165" s="10">
        <f>IF(T165="","",IF(T165&lt;TODAY(),"PAST EOS — UNSUPPORTED",IF(T165-TODAY()&lt;=365,"EOS within 12 months","Supported")))</f>
        <v/>
      </c>
      <c r="X165" s="10" t="n"/>
      <c r="Y165" s="10" t="n"/>
      <c r="Z165" s="10" t="n"/>
      <c r="AA165" s="10" t="n"/>
      <c r="AB165" s="10" t="n"/>
      <c r="AC165" s="10" t="n"/>
      <c r="AD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>
        <f>IF(T166="","",T166-TODAY())</f>
        <v/>
      </c>
      <c r="W166" s="10">
        <f>IF(T166="","",IF(T166&lt;TODAY(),"PAST EOS — UNSUPPORTED",IF(T166-TODAY()&lt;=365,"EOS within 12 months","Supported")))</f>
        <v/>
      </c>
      <c r="X166" s="10" t="n"/>
      <c r="Y166" s="10" t="n"/>
      <c r="Z166" s="10" t="n"/>
      <c r="AA166" s="10" t="n"/>
      <c r="AB166" s="10" t="n"/>
      <c r="AC166" s="10" t="n"/>
      <c r="AD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>
        <f>IF(T167="","",T167-TODAY())</f>
        <v/>
      </c>
      <c r="W167" s="10">
        <f>IF(T167="","",IF(T167&lt;TODAY(),"PAST EOS — UNSUPPORTED",IF(T167-TODAY()&lt;=365,"EOS within 12 months","Supported")))</f>
        <v/>
      </c>
      <c r="X167" s="10" t="n"/>
      <c r="Y167" s="10" t="n"/>
      <c r="Z167" s="10" t="n"/>
      <c r="AA167" s="10" t="n"/>
      <c r="AB167" s="10" t="n"/>
      <c r="AC167" s="10" t="n"/>
      <c r="AD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>
        <f>IF(T168="","",T168-TODAY())</f>
        <v/>
      </c>
      <c r="W168" s="10">
        <f>IF(T168="","",IF(T168&lt;TODAY(),"PAST EOS — UNSUPPORTED",IF(T168-TODAY()&lt;=365,"EOS within 12 months","Supported")))</f>
        <v/>
      </c>
      <c r="X168" s="10" t="n"/>
      <c r="Y168" s="10" t="n"/>
      <c r="Z168" s="10" t="n"/>
      <c r="AA168" s="10" t="n"/>
      <c r="AB168" s="10" t="n"/>
      <c r="AC168" s="10" t="n"/>
      <c r="AD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>
        <f>IF(T169="","",T169-TODAY())</f>
        <v/>
      </c>
      <c r="W169" s="10">
        <f>IF(T169="","",IF(T169&lt;TODAY(),"PAST EOS — UNSUPPORTED",IF(T169-TODAY()&lt;=365,"EOS within 12 months","Supported")))</f>
        <v/>
      </c>
      <c r="X169" s="10" t="n"/>
      <c r="Y169" s="10" t="n"/>
      <c r="Z169" s="10" t="n"/>
      <c r="AA169" s="10" t="n"/>
      <c r="AB169" s="10" t="n"/>
      <c r="AC169" s="10" t="n"/>
      <c r="AD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>
        <f>IF(T170="","",T170-TODAY())</f>
        <v/>
      </c>
      <c r="W170" s="10">
        <f>IF(T170="","",IF(T170&lt;TODAY(),"PAST EOS — UNSUPPORTED",IF(T170-TODAY()&lt;=365,"EOS within 12 months","Supported")))</f>
        <v/>
      </c>
      <c r="X170" s="10" t="n"/>
      <c r="Y170" s="10" t="n"/>
      <c r="Z170" s="10" t="n"/>
      <c r="AA170" s="10" t="n"/>
      <c r="AB170" s="10" t="n"/>
      <c r="AC170" s="10" t="n"/>
      <c r="AD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>
        <f>IF(T171="","",T171-TODAY())</f>
        <v/>
      </c>
      <c r="W171" s="10">
        <f>IF(T171="","",IF(T171&lt;TODAY(),"PAST EOS — UNSUPPORTED",IF(T171-TODAY()&lt;=365,"EOS within 12 months","Supported")))</f>
        <v/>
      </c>
      <c r="X171" s="10" t="n"/>
      <c r="Y171" s="10" t="n"/>
      <c r="Z171" s="10" t="n"/>
      <c r="AA171" s="10" t="n"/>
      <c r="AB171" s="10" t="n"/>
      <c r="AC171" s="10" t="n"/>
      <c r="AD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>
        <f>IF(T172="","",T172-TODAY())</f>
        <v/>
      </c>
      <c r="W172" s="10">
        <f>IF(T172="","",IF(T172&lt;TODAY(),"PAST EOS — UNSUPPORTED",IF(T172-TODAY()&lt;=365,"EOS within 12 months","Supported")))</f>
        <v/>
      </c>
      <c r="X172" s="10" t="n"/>
      <c r="Y172" s="10" t="n"/>
      <c r="Z172" s="10" t="n"/>
      <c r="AA172" s="10" t="n"/>
      <c r="AB172" s="10" t="n"/>
      <c r="AC172" s="10" t="n"/>
      <c r="AD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>
        <f>IF(T173="","",T173-TODAY())</f>
        <v/>
      </c>
      <c r="W173" s="10">
        <f>IF(T173="","",IF(T173&lt;TODAY(),"PAST EOS — UNSUPPORTED",IF(T173-TODAY()&lt;=365,"EOS within 12 months","Supported")))</f>
        <v/>
      </c>
      <c r="X173" s="10" t="n"/>
      <c r="Y173" s="10" t="n"/>
      <c r="Z173" s="10" t="n"/>
      <c r="AA173" s="10" t="n"/>
      <c r="AB173" s="10" t="n"/>
      <c r="AC173" s="10" t="n"/>
      <c r="AD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>
        <f>IF(T174="","",T174-TODAY())</f>
        <v/>
      </c>
      <c r="W174" s="10">
        <f>IF(T174="","",IF(T174&lt;TODAY(),"PAST EOS — UNSUPPORTED",IF(T174-TODAY()&lt;=365,"EOS within 12 months","Supported")))</f>
        <v/>
      </c>
      <c r="X174" s="10" t="n"/>
      <c r="Y174" s="10" t="n"/>
      <c r="Z174" s="10" t="n"/>
      <c r="AA174" s="10" t="n"/>
      <c r="AB174" s="10" t="n"/>
      <c r="AC174" s="10" t="n"/>
      <c r="AD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>
        <f>IF(T175="","",T175-TODAY())</f>
        <v/>
      </c>
      <c r="W175" s="10">
        <f>IF(T175="","",IF(T175&lt;TODAY(),"PAST EOS — UNSUPPORTED",IF(T175-TODAY()&lt;=365,"EOS within 12 months","Supported")))</f>
        <v/>
      </c>
      <c r="X175" s="10" t="n"/>
      <c r="Y175" s="10" t="n"/>
      <c r="Z175" s="10" t="n"/>
      <c r="AA175" s="10" t="n"/>
      <c r="AB175" s="10" t="n"/>
      <c r="AC175" s="10" t="n"/>
      <c r="AD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>
        <f>IF(T176="","",T176-TODAY())</f>
        <v/>
      </c>
      <c r="W176" s="10">
        <f>IF(T176="","",IF(T176&lt;TODAY(),"PAST EOS — UNSUPPORTED",IF(T176-TODAY()&lt;=365,"EOS within 12 months","Supported")))</f>
        <v/>
      </c>
      <c r="X176" s="10" t="n"/>
      <c r="Y176" s="10" t="n"/>
      <c r="Z176" s="10" t="n"/>
      <c r="AA176" s="10" t="n"/>
      <c r="AB176" s="10" t="n"/>
      <c r="AC176" s="10" t="n"/>
      <c r="AD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>
        <f>IF(T177="","",T177-TODAY())</f>
        <v/>
      </c>
      <c r="W177" s="10">
        <f>IF(T177="","",IF(T177&lt;TODAY(),"PAST EOS — UNSUPPORTED",IF(T177-TODAY()&lt;=365,"EOS within 12 months","Supported")))</f>
        <v/>
      </c>
      <c r="X177" s="10" t="n"/>
      <c r="Y177" s="10" t="n"/>
      <c r="Z177" s="10" t="n"/>
      <c r="AA177" s="10" t="n"/>
      <c r="AB177" s="10" t="n"/>
      <c r="AC177" s="10" t="n"/>
      <c r="AD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>
        <f>IF(T178="","",T178-TODAY())</f>
        <v/>
      </c>
      <c r="W178" s="10">
        <f>IF(T178="","",IF(T178&lt;TODAY(),"PAST EOS — UNSUPPORTED",IF(T178-TODAY()&lt;=365,"EOS within 12 months","Supported")))</f>
        <v/>
      </c>
      <c r="X178" s="10" t="n"/>
      <c r="Y178" s="10" t="n"/>
      <c r="Z178" s="10" t="n"/>
      <c r="AA178" s="10" t="n"/>
      <c r="AB178" s="10" t="n"/>
      <c r="AC178" s="10" t="n"/>
      <c r="AD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>
        <f>IF(T179="","",T179-TODAY())</f>
        <v/>
      </c>
      <c r="W179" s="10">
        <f>IF(T179="","",IF(T179&lt;TODAY(),"PAST EOS — UNSUPPORTED",IF(T179-TODAY()&lt;=365,"EOS within 12 months","Supported")))</f>
        <v/>
      </c>
      <c r="X179" s="10" t="n"/>
      <c r="Y179" s="10" t="n"/>
      <c r="Z179" s="10" t="n"/>
      <c r="AA179" s="10" t="n"/>
      <c r="AB179" s="10" t="n"/>
      <c r="AC179" s="10" t="n"/>
      <c r="AD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>
        <f>IF(T180="","",T180-TODAY())</f>
        <v/>
      </c>
      <c r="W180" s="10">
        <f>IF(T180="","",IF(T180&lt;TODAY(),"PAST EOS — UNSUPPORTED",IF(T180-TODAY()&lt;=365,"EOS within 12 months","Supported")))</f>
        <v/>
      </c>
      <c r="X180" s="10" t="n"/>
      <c r="Y180" s="10" t="n"/>
      <c r="Z180" s="10" t="n"/>
      <c r="AA180" s="10" t="n"/>
      <c r="AB180" s="10" t="n"/>
      <c r="AC180" s="10" t="n"/>
      <c r="AD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>
        <f>IF(T181="","",T181-TODAY())</f>
        <v/>
      </c>
      <c r="W181" s="10">
        <f>IF(T181="","",IF(T181&lt;TODAY(),"PAST EOS — UNSUPPORTED",IF(T181-TODAY()&lt;=365,"EOS within 12 months","Supported")))</f>
        <v/>
      </c>
      <c r="X181" s="10" t="n"/>
      <c r="Y181" s="10" t="n"/>
      <c r="Z181" s="10" t="n"/>
      <c r="AA181" s="10" t="n"/>
      <c r="AB181" s="10" t="n"/>
      <c r="AC181" s="10" t="n"/>
      <c r="AD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>
        <f>IF(T182="","",T182-TODAY())</f>
        <v/>
      </c>
      <c r="W182" s="10">
        <f>IF(T182="","",IF(T182&lt;TODAY(),"PAST EOS — UNSUPPORTED",IF(T182-TODAY()&lt;=365,"EOS within 12 months","Supported")))</f>
        <v/>
      </c>
      <c r="X182" s="10" t="n"/>
      <c r="Y182" s="10" t="n"/>
      <c r="Z182" s="10" t="n"/>
      <c r="AA182" s="10" t="n"/>
      <c r="AB182" s="10" t="n"/>
      <c r="AC182" s="10" t="n"/>
      <c r="AD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>
        <f>IF(T183="","",T183-TODAY())</f>
        <v/>
      </c>
      <c r="W183" s="10">
        <f>IF(T183="","",IF(T183&lt;TODAY(),"PAST EOS — UNSUPPORTED",IF(T183-TODAY()&lt;=365,"EOS within 12 months","Supported")))</f>
        <v/>
      </c>
      <c r="X183" s="10" t="n"/>
      <c r="Y183" s="10" t="n"/>
      <c r="Z183" s="10" t="n"/>
      <c r="AA183" s="10" t="n"/>
      <c r="AB183" s="10" t="n"/>
      <c r="AC183" s="10" t="n"/>
      <c r="AD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>
        <f>IF(T184="","",T184-TODAY())</f>
        <v/>
      </c>
      <c r="W184" s="10">
        <f>IF(T184="","",IF(T184&lt;TODAY(),"PAST EOS — UNSUPPORTED",IF(T184-TODAY()&lt;=365,"EOS within 12 months","Supported")))</f>
        <v/>
      </c>
      <c r="X184" s="10" t="n"/>
      <c r="Y184" s="10" t="n"/>
      <c r="Z184" s="10" t="n"/>
      <c r="AA184" s="10" t="n"/>
      <c r="AB184" s="10" t="n"/>
      <c r="AC184" s="10" t="n"/>
      <c r="AD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>
        <f>IF(T185="","",T185-TODAY())</f>
        <v/>
      </c>
      <c r="W185" s="10">
        <f>IF(T185="","",IF(T185&lt;TODAY(),"PAST EOS — UNSUPPORTED",IF(T185-TODAY()&lt;=365,"EOS within 12 months","Supported")))</f>
        <v/>
      </c>
      <c r="X185" s="10" t="n"/>
      <c r="Y185" s="10" t="n"/>
      <c r="Z185" s="10" t="n"/>
      <c r="AA185" s="10" t="n"/>
      <c r="AB185" s="10" t="n"/>
      <c r="AC185" s="10" t="n"/>
      <c r="AD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>
        <f>IF(T186="","",T186-TODAY())</f>
        <v/>
      </c>
      <c r="W186" s="10">
        <f>IF(T186="","",IF(T186&lt;TODAY(),"PAST EOS — UNSUPPORTED",IF(T186-TODAY()&lt;=365,"EOS within 12 months","Supported")))</f>
        <v/>
      </c>
      <c r="X186" s="10" t="n"/>
      <c r="Y186" s="10" t="n"/>
      <c r="Z186" s="10" t="n"/>
      <c r="AA186" s="10" t="n"/>
      <c r="AB186" s="10" t="n"/>
      <c r="AC186" s="10" t="n"/>
      <c r="AD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>
        <f>IF(T187="","",T187-TODAY())</f>
        <v/>
      </c>
      <c r="W187" s="10">
        <f>IF(T187="","",IF(T187&lt;TODAY(),"PAST EOS — UNSUPPORTED",IF(T187-TODAY()&lt;=365,"EOS within 12 months","Supported")))</f>
        <v/>
      </c>
      <c r="X187" s="10" t="n"/>
      <c r="Y187" s="10" t="n"/>
      <c r="Z187" s="10" t="n"/>
      <c r="AA187" s="10" t="n"/>
      <c r="AB187" s="10" t="n"/>
      <c r="AC187" s="10" t="n"/>
      <c r="AD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>
        <f>IF(T188="","",T188-TODAY())</f>
        <v/>
      </c>
      <c r="W188" s="10">
        <f>IF(T188="","",IF(T188&lt;TODAY(),"PAST EOS — UNSUPPORTED",IF(T188-TODAY()&lt;=365,"EOS within 12 months","Supported")))</f>
        <v/>
      </c>
      <c r="X188" s="10" t="n"/>
      <c r="Y188" s="10" t="n"/>
      <c r="Z188" s="10" t="n"/>
      <c r="AA188" s="10" t="n"/>
      <c r="AB188" s="10" t="n"/>
      <c r="AC188" s="10" t="n"/>
      <c r="AD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>
        <f>IF(T189="","",T189-TODAY())</f>
        <v/>
      </c>
      <c r="W189" s="10">
        <f>IF(T189="","",IF(T189&lt;TODAY(),"PAST EOS — UNSUPPORTED",IF(T189-TODAY()&lt;=365,"EOS within 12 months","Supported")))</f>
        <v/>
      </c>
      <c r="X189" s="10" t="n"/>
      <c r="Y189" s="10" t="n"/>
      <c r="Z189" s="10" t="n"/>
      <c r="AA189" s="10" t="n"/>
      <c r="AB189" s="10" t="n"/>
      <c r="AC189" s="10" t="n"/>
      <c r="AD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>
        <f>IF(T190="","",T190-TODAY())</f>
        <v/>
      </c>
      <c r="W190" s="10">
        <f>IF(T190="","",IF(T190&lt;TODAY(),"PAST EOS — UNSUPPORTED",IF(T190-TODAY()&lt;=365,"EOS within 12 months","Supported")))</f>
        <v/>
      </c>
      <c r="X190" s="10" t="n"/>
      <c r="Y190" s="10" t="n"/>
      <c r="Z190" s="10" t="n"/>
      <c r="AA190" s="10" t="n"/>
      <c r="AB190" s="10" t="n"/>
      <c r="AC190" s="10" t="n"/>
      <c r="AD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>
        <f>IF(T191="","",T191-TODAY())</f>
        <v/>
      </c>
      <c r="W191" s="10">
        <f>IF(T191="","",IF(T191&lt;TODAY(),"PAST EOS — UNSUPPORTED",IF(T191-TODAY()&lt;=365,"EOS within 12 months","Supported")))</f>
        <v/>
      </c>
      <c r="X191" s="10" t="n"/>
      <c r="Y191" s="10" t="n"/>
      <c r="Z191" s="10" t="n"/>
      <c r="AA191" s="10" t="n"/>
      <c r="AB191" s="10" t="n"/>
      <c r="AC191" s="10" t="n"/>
      <c r="AD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>
        <f>IF(T192="","",T192-TODAY())</f>
        <v/>
      </c>
      <c r="W192" s="10">
        <f>IF(T192="","",IF(T192&lt;TODAY(),"PAST EOS — UNSUPPORTED",IF(T192-TODAY()&lt;=365,"EOS within 12 months","Supported")))</f>
        <v/>
      </c>
      <c r="X192" s="10" t="n"/>
      <c r="Y192" s="10" t="n"/>
      <c r="Z192" s="10" t="n"/>
      <c r="AA192" s="10" t="n"/>
      <c r="AB192" s="10" t="n"/>
      <c r="AC192" s="10" t="n"/>
      <c r="AD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>
        <f>IF(T193="","",T193-TODAY())</f>
        <v/>
      </c>
      <c r="W193" s="10">
        <f>IF(T193="","",IF(T193&lt;TODAY(),"PAST EOS — UNSUPPORTED",IF(T193-TODAY()&lt;=365,"EOS within 12 months","Supported")))</f>
        <v/>
      </c>
      <c r="X193" s="10" t="n"/>
      <c r="Y193" s="10" t="n"/>
      <c r="Z193" s="10" t="n"/>
      <c r="AA193" s="10" t="n"/>
      <c r="AB193" s="10" t="n"/>
      <c r="AC193" s="10" t="n"/>
      <c r="AD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>
        <f>IF(T194="","",T194-TODAY())</f>
        <v/>
      </c>
      <c r="W194" s="10">
        <f>IF(T194="","",IF(T194&lt;TODAY(),"PAST EOS — UNSUPPORTED",IF(T194-TODAY()&lt;=365,"EOS within 12 months","Supported")))</f>
        <v/>
      </c>
      <c r="X194" s="10" t="n"/>
      <c r="Y194" s="10" t="n"/>
      <c r="Z194" s="10" t="n"/>
      <c r="AA194" s="10" t="n"/>
      <c r="AB194" s="10" t="n"/>
      <c r="AC194" s="10" t="n"/>
      <c r="AD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>
        <f>IF(T195="","",T195-TODAY())</f>
        <v/>
      </c>
      <c r="W195" s="10">
        <f>IF(T195="","",IF(T195&lt;TODAY(),"PAST EOS — UNSUPPORTED",IF(T195-TODAY()&lt;=365,"EOS within 12 months","Supported")))</f>
        <v/>
      </c>
      <c r="X195" s="10" t="n"/>
      <c r="Y195" s="10" t="n"/>
      <c r="Z195" s="10" t="n"/>
      <c r="AA195" s="10" t="n"/>
      <c r="AB195" s="10" t="n"/>
      <c r="AC195" s="10" t="n"/>
      <c r="AD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>
        <f>IF(T196="","",T196-TODAY())</f>
        <v/>
      </c>
      <c r="W196" s="10">
        <f>IF(T196="","",IF(T196&lt;TODAY(),"PAST EOS — UNSUPPORTED",IF(T196-TODAY()&lt;=365,"EOS within 12 months","Supported")))</f>
        <v/>
      </c>
      <c r="X196" s="10" t="n"/>
      <c r="Y196" s="10" t="n"/>
      <c r="Z196" s="10" t="n"/>
      <c r="AA196" s="10" t="n"/>
      <c r="AB196" s="10" t="n"/>
      <c r="AC196" s="10" t="n"/>
      <c r="AD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>
        <f>IF(T197="","",T197-TODAY())</f>
        <v/>
      </c>
      <c r="W197" s="10">
        <f>IF(T197="","",IF(T197&lt;TODAY(),"PAST EOS — UNSUPPORTED",IF(T197-TODAY()&lt;=365,"EOS within 12 months","Supported")))</f>
        <v/>
      </c>
      <c r="X197" s="10" t="n"/>
      <c r="Y197" s="10" t="n"/>
      <c r="Z197" s="10" t="n"/>
      <c r="AA197" s="10" t="n"/>
      <c r="AB197" s="10" t="n"/>
      <c r="AC197" s="10" t="n"/>
      <c r="AD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>
        <f>IF(T198="","",T198-TODAY())</f>
        <v/>
      </c>
      <c r="W198" s="10">
        <f>IF(T198="","",IF(T198&lt;TODAY(),"PAST EOS — UNSUPPORTED",IF(T198-TODAY()&lt;=365,"EOS within 12 months","Supported")))</f>
        <v/>
      </c>
      <c r="X198" s="10" t="n"/>
      <c r="Y198" s="10" t="n"/>
      <c r="Z198" s="10" t="n"/>
      <c r="AA198" s="10" t="n"/>
      <c r="AB198" s="10" t="n"/>
      <c r="AC198" s="10" t="n"/>
      <c r="AD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>
        <f>IF(T199="","",T199-TODAY())</f>
        <v/>
      </c>
      <c r="W199" s="10">
        <f>IF(T199="","",IF(T199&lt;TODAY(),"PAST EOS — UNSUPPORTED",IF(T199-TODAY()&lt;=365,"EOS within 12 months","Supported")))</f>
        <v/>
      </c>
      <c r="X199" s="10" t="n"/>
      <c r="Y199" s="10" t="n"/>
      <c r="Z199" s="10" t="n"/>
      <c r="AA199" s="10" t="n"/>
      <c r="AB199" s="10" t="n"/>
      <c r="AC199" s="10" t="n"/>
      <c r="AD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>
        <f>IF(T200="","",T200-TODAY())</f>
        <v/>
      </c>
      <c r="W200" s="10">
        <f>IF(T200="","",IF(T200&lt;TODAY(),"PAST EOS — UNSUPPORTED",IF(T200-TODAY()&lt;=365,"EOS within 12 months","Supported")))</f>
        <v/>
      </c>
      <c r="X200" s="10" t="n"/>
      <c r="Y200" s="10" t="n"/>
      <c r="Z200" s="10" t="n"/>
      <c r="AA200" s="10" t="n"/>
      <c r="AB200" s="10" t="n"/>
      <c r="AC200" s="10" t="n"/>
      <c r="AD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>
        <f>IF(T201="","",T201-TODAY())</f>
        <v/>
      </c>
      <c r="W201" s="10">
        <f>IF(T201="","",IF(T201&lt;TODAY(),"PAST EOS — UNSUPPORTED",IF(T201-TODAY()&lt;=365,"EOS within 12 months","Supported")))</f>
        <v/>
      </c>
      <c r="X201" s="10" t="n"/>
      <c r="Y201" s="10" t="n"/>
      <c r="Z201" s="10" t="n"/>
      <c r="AA201" s="10" t="n"/>
      <c r="AB201" s="10" t="n"/>
      <c r="AC201" s="10" t="n"/>
      <c r="AD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>
        <f>IF(T202="","",T202-TODAY())</f>
        <v/>
      </c>
      <c r="W202" s="10">
        <f>IF(T202="","",IF(T202&lt;TODAY(),"PAST EOS — UNSUPPORTED",IF(T202-TODAY()&lt;=365,"EOS within 12 months","Supported")))</f>
        <v/>
      </c>
      <c r="X202" s="10" t="n"/>
      <c r="Y202" s="10" t="n"/>
      <c r="Z202" s="10" t="n"/>
      <c r="AA202" s="10" t="n"/>
      <c r="AB202" s="10" t="n"/>
      <c r="AC202" s="10" t="n"/>
      <c r="AD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>
        <f>IF(T203="","",T203-TODAY())</f>
        <v/>
      </c>
      <c r="W203" s="10">
        <f>IF(T203="","",IF(T203&lt;TODAY(),"PAST EOS — UNSUPPORTED",IF(T203-TODAY()&lt;=365,"EOS within 12 months","Supported")))</f>
        <v/>
      </c>
      <c r="X203" s="10" t="n"/>
      <c r="Y203" s="10" t="n"/>
      <c r="Z203" s="10" t="n"/>
      <c r="AA203" s="10" t="n"/>
      <c r="AB203" s="10" t="n"/>
      <c r="AC203" s="10" t="n"/>
      <c r="AD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>
        <f>IF(T204="","",T204-TODAY())</f>
        <v/>
      </c>
      <c r="W204" s="10">
        <f>IF(T204="","",IF(T204&lt;TODAY(),"PAST EOS — UNSUPPORTED",IF(T204-TODAY()&lt;=365,"EOS within 12 months","Supported")))</f>
        <v/>
      </c>
      <c r="X204" s="10" t="n"/>
      <c r="Y204" s="10" t="n"/>
      <c r="Z204" s="10" t="n"/>
      <c r="AA204" s="10" t="n"/>
      <c r="AB204" s="10" t="n"/>
      <c r="AC204" s="10" t="n"/>
      <c r="AD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>
        <f>IF(T205="","",T205-TODAY())</f>
        <v/>
      </c>
      <c r="W205" s="10">
        <f>IF(T205="","",IF(T205&lt;TODAY(),"PAST EOS — UNSUPPORTED",IF(T205-TODAY()&lt;=365,"EOS within 12 months","Supported")))</f>
        <v/>
      </c>
      <c r="X205" s="10" t="n"/>
      <c r="Y205" s="10" t="n"/>
      <c r="Z205" s="10" t="n"/>
      <c r="AA205" s="10" t="n"/>
      <c r="AB205" s="10" t="n"/>
      <c r="AC205" s="10" t="n"/>
      <c r="AD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>
        <f>IF(T206="","",T206-TODAY())</f>
        <v/>
      </c>
      <c r="W206" s="10">
        <f>IF(T206="","",IF(T206&lt;TODAY(),"PAST EOS — UNSUPPORTED",IF(T206-TODAY()&lt;=365,"EOS within 12 months","Supported")))</f>
        <v/>
      </c>
      <c r="X206" s="10" t="n"/>
      <c r="Y206" s="10" t="n"/>
      <c r="Z206" s="10" t="n"/>
      <c r="AA206" s="10" t="n"/>
      <c r="AB206" s="10" t="n"/>
      <c r="AC206" s="10" t="n"/>
      <c r="AD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>
        <f>IF(T207="","",T207-TODAY())</f>
        <v/>
      </c>
      <c r="W207" s="10">
        <f>IF(T207="","",IF(T207&lt;TODAY(),"PAST EOS — UNSUPPORTED",IF(T207-TODAY()&lt;=365,"EOS within 12 months","Supported")))</f>
        <v/>
      </c>
      <c r="X207" s="10" t="n"/>
      <c r="Y207" s="10" t="n"/>
      <c r="Z207" s="10" t="n"/>
      <c r="AA207" s="10" t="n"/>
      <c r="AB207" s="10" t="n"/>
      <c r="AC207" s="10" t="n"/>
      <c r="AD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>
        <f>IF(T208="","",T208-TODAY())</f>
        <v/>
      </c>
      <c r="W208" s="10">
        <f>IF(T208="","",IF(T208&lt;TODAY(),"PAST EOS — UNSUPPORTED",IF(T208-TODAY()&lt;=365,"EOS within 12 months","Supported")))</f>
        <v/>
      </c>
      <c r="X208" s="10" t="n"/>
      <c r="Y208" s="10" t="n"/>
      <c r="Z208" s="10" t="n"/>
      <c r="AA208" s="10" t="n"/>
      <c r="AB208" s="10" t="n"/>
      <c r="AC208" s="10" t="n"/>
      <c r="AD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>
        <f>IF(T209="","",T209-TODAY())</f>
        <v/>
      </c>
      <c r="W209" s="10">
        <f>IF(T209="","",IF(T209&lt;TODAY(),"PAST EOS — UNSUPPORTED",IF(T209-TODAY()&lt;=365,"EOS within 12 months","Supported")))</f>
        <v/>
      </c>
      <c r="X209" s="10" t="n"/>
      <c r="Y209" s="10" t="n"/>
      <c r="Z209" s="10" t="n"/>
      <c r="AA209" s="10" t="n"/>
      <c r="AB209" s="10" t="n"/>
      <c r="AC209" s="10" t="n"/>
      <c r="AD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>
        <f>IF(T210="","",T210-TODAY())</f>
        <v/>
      </c>
      <c r="W210" s="10">
        <f>IF(T210="","",IF(T210&lt;TODAY(),"PAST EOS — UNSUPPORTED",IF(T210-TODAY()&lt;=365,"EOS within 12 months","Supported")))</f>
        <v/>
      </c>
      <c r="X210" s="10" t="n"/>
      <c r="Y210" s="10" t="n"/>
      <c r="Z210" s="10" t="n"/>
      <c r="AA210" s="10" t="n"/>
      <c r="AB210" s="10" t="n"/>
      <c r="AC210" s="10" t="n"/>
      <c r="AD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>
        <f>IF(T211="","",T211-TODAY())</f>
        <v/>
      </c>
      <c r="W211" s="10">
        <f>IF(T211="","",IF(T211&lt;TODAY(),"PAST EOS — UNSUPPORTED",IF(T211-TODAY()&lt;=365,"EOS within 12 months","Supported")))</f>
        <v/>
      </c>
      <c r="X211" s="10" t="n"/>
      <c r="Y211" s="10" t="n"/>
      <c r="Z211" s="10" t="n"/>
      <c r="AA211" s="10" t="n"/>
      <c r="AB211" s="10" t="n"/>
      <c r="AC211" s="10" t="n"/>
      <c r="AD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>
        <f>IF(T212="","",T212-TODAY())</f>
        <v/>
      </c>
      <c r="W212" s="10">
        <f>IF(T212="","",IF(T212&lt;TODAY(),"PAST EOS — UNSUPPORTED",IF(T212-TODAY()&lt;=365,"EOS within 12 months","Supported")))</f>
        <v/>
      </c>
      <c r="X212" s="10" t="n"/>
      <c r="Y212" s="10" t="n"/>
      <c r="Z212" s="10" t="n"/>
      <c r="AA212" s="10" t="n"/>
      <c r="AB212" s="10" t="n"/>
      <c r="AC212" s="10" t="n"/>
      <c r="AD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>
        <f>IF(T213="","",T213-TODAY())</f>
        <v/>
      </c>
      <c r="W213" s="10">
        <f>IF(T213="","",IF(T213&lt;TODAY(),"PAST EOS — UNSUPPORTED",IF(T213-TODAY()&lt;=365,"EOS within 12 months","Supported")))</f>
        <v/>
      </c>
      <c r="X213" s="10" t="n"/>
      <c r="Y213" s="10" t="n"/>
      <c r="Z213" s="10" t="n"/>
      <c r="AA213" s="10" t="n"/>
      <c r="AB213" s="10" t="n"/>
      <c r="AC213" s="10" t="n"/>
      <c r="AD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>
        <f>IF(T214="","",T214-TODAY())</f>
        <v/>
      </c>
      <c r="W214" s="10">
        <f>IF(T214="","",IF(T214&lt;TODAY(),"PAST EOS — UNSUPPORTED",IF(T214-TODAY()&lt;=365,"EOS within 12 months","Supported")))</f>
        <v/>
      </c>
      <c r="X214" s="10" t="n"/>
      <c r="Y214" s="10" t="n"/>
      <c r="Z214" s="10" t="n"/>
      <c r="AA214" s="10" t="n"/>
      <c r="AB214" s="10" t="n"/>
      <c r="AC214" s="10" t="n"/>
      <c r="AD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>
        <f>IF(T215="","",T215-TODAY())</f>
        <v/>
      </c>
      <c r="W215" s="10">
        <f>IF(T215="","",IF(T215&lt;TODAY(),"PAST EOS — UNSUPPORTED",IF(T215-TODAY()&lt;=365,"EOS within 12 months","Supported")))</f>
        <v/>
      </c>
      <c r="X215" s="10" t="n"/>
      <c r="Y215" s="10" t="n"/>
      <c r="Z215" s="10" t="n"/>
      <c r="AA215" s="10" t="n"/>
      <c r="AB215" s="10" t="n"/>
      <c r="AC215" s="10" t="n"/>
      <c r="AD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>
        <f>IF(T216="","",T216-TODAY())</f>
        <v/>
      </c>
      <c r="W216" s="10">
        <f>IF(T216="","",IF(T216&lt;TODAY(),"PAST EOS — UNSUPPORTED",IF(T216-TODAY()&lt;=365,"EOS within 12 months","Supported")))</f>
        <v/>
      </c>
      <c r="X216" s="10" t="n"/>
      <c r="Y216" s="10" t="n"/>
      <c r="Z216" s="10" t="n"/>
      <c r="AA216" s="10" t="n"/>
      <c r="AB216" s="10" t="n"/>
      <c r="AC216" s="10" t="n"/>
      <c r="AD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>
        <f>IF(T217="","",T217-TODAY())</f>
        <v/>
      </c>
      <c r="W217" s="10">
        <f>IF(T217="","",IF(T217&lt;TODAY(),"PAST EOS — UNSUPPORTED",IF(T217-TODAY()&lt;=365,"EOS within 12 months","Supported")))</f>
        <v/>
      </c>
      <c r="X217" s="10" t="n"/>
      <c r="Y217" s="10" t="n"/>
      <c r="Z217" s="10" t="n"/>
      <c r="AA217" s="10" t="n"/>
      <c r="AB217" s="10" t="n"/>
      <c r="AC217" s="10" t="n"/>
      <c r="AD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>
        <f>IF(T218="","",T218-TODAY())</f>
        <v/>
      </c>
      <c r="W218" s="10">
        <f>IF(T218="","",IF(T218&lt;TODAY(),"PAST EOS — UNSUPPORTED",IF(T218-TODAY()&lt;=365,"EOS within 12 months","Supported")))</f>
        <v/>
      </c>
      <c r="X218" s="10" t="n"/>
      <c r="Y218" s="10" t="n"/>
      <c r="Z218" s="10" t="n"/>
      <c r="AA218" s="10" t="n"/>
      <c r="AB218" s="10" t="n"/>
      <c r="AC218" s="10" t="n"/>
      <c r="AD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>
        <f>IF(T219="","",T219-TODAY())</f>
        <v/>
      </c>
      <c r="W219" s="10">
        <f>IF(T219="","",IF(T219&lt;TODAY(),"PAST EOS — UNSUPPORTED",IF(T219-TODAY()&lt;=365,"EOS within 12 months","Supported")))</f>
        <v/>
      </c>
      <c r="X219" s="10" t="n"/>
      <c r="Y219" s="10" t="n"/>
      <c r="Z219" s="10" t="n"/>
      <c r="AA219" s="10" t="n"/>
      <c r="AB219" s="10" t="n"/>
      <c r="AC219" s="10" t="n"/>
      <c r="AD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>
        <f>IF(T220="","",T220-TODAY())</f>
        <v/>
      </c>
      <c r="W220" s="10">
        <f>IF(T220="","",IF(T220&lt;TODAY(),"PAST EOS — UNSUPPORTED",IF(T220-TODAY()&lt;=365,"EOS within 12 months","Supported")))</f>
        <v/>
      </c>
      <c r="X220" s="10" t="n"/>
      <c r="Y220" s="10" t="n"/>
      <c r="Z220" s="10" t="n"/>
      <c r="AA220" s="10" t="n"/>
      <c r="AB220" s="10" t="n"/>
      <c r="AC220" s="10" t="n"/>
      <c r="AD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>
        <f>IF(T221="","",T221-TODAY())</f>
        <v/>
      </c>
      <c r="W221" s="10">
        <f>IF(T221="","",IF(T221&lt;TODAY(),"PAST EOS — UNSUPPORTED",IF(T221-TODAY()&lt;=365,"EOS within 12 months","Supported")))</f>
        <v/>
      </c>
      <c r="X221" s="10" t="n"/>
      <c r="Y221" s="10" t="n"/>
      <c r="Z221" s="10" t="n"/>
      <c r="AA221" s="10" t="n"/>
      <c r="AB221" s="10" t="n"/>
      <c r="AC221" s="10" t="n"/>
      <c r="AD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>
        <f>IF(T222="","",T222-TODAY())</f>
        <v/>
      </c>
      <c r="W222" s="10">
        <f>IF(T222="","",IF(T222&lt;TODAY(),"PAST EOS — UNSUPPORTED",IF(T222-TODAY()&lt;=365,"EOS within 12 months","Supported")))</f>
        <v/>
      </c>
      <c r="X222" s="10" t="n"/>
      <c r="Y222" s="10" t="n"/>
      <c r="Z222" s="10" t="n"/>
      <c r="AA222" s="10" t="n"/>
      <c r="AB222" s="10" t="n"/>
      <c r="AC222" s="10" t="n"/>
      <c r="AD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>
        <f>IF(T223="","",T223-TODAY())</f>
        <v/>
      </c>
      <c r="W223" s="10">
        <f>IF(T223="","",IF(T223&lt;TODAY(),"PAST EOS — UNSUPPORTED",IF(T223-TODAY()&lt;=365,"EOS within 12 months","Supported")))</f>
        <v/>
      </c>
      <c r="X223" s="10" t="n"/>
      <c r="Y223" s="10" t="n"/>
      <c r="Z223" s="10" t="n"/>
      <c r="AA223" s="10" t="n"/>
      <c r="AB223" s="10" t="n"/>
      <c r="AC223" s="10" t="n"/>
      <c r="AD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>
        <f>IF(T224="","",T224-TODAY())</f>
        <v/>
      </c>
      <c r="W224" s="10">
        <f>IF(T224="","",IF(T224&lt;TODAY(),"PAST EOS — UNSUPPORTED",IF(T224-TODAY()&lt;=365,"EOS within 12 months","Supported")))</f>
        <v/>
      </c>
      <c r="X224" s="10" t="n"/>
      <c r="Y224" s="10" t="n"/>
      <c r="Z224" s="10" t="n"/>
      <c r="AA224" s="10" t="n"/>
      <c r="AB224" s="10" t="n"/>
      <c r="AC224" s="10" t="n"/>
      <c r="AD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>
        <f>IF(T225="","",T225-TODAY())</f>
        <v/>
      </c>
      <c r="W225" s="10">
        <f>IF(T225="","",IF(T225&lt;TODAY(),"PAST EOS — UNSUPPORTED",IF(T225-TODAY()&lt;=365,"EOS within 12 months","Supported")))</f>
        <v/>
      </c>
      <c r="X225" s="10" t="n"/>
      <c r="Y225" s="10" t="n"/>
      <c r="Z225" s="10" t="n"/>
      <c r="AA225" s="10" t="n"/>
      <c r="AB225" s="10" t="n"/>
      <c r="AC225" s="10" t="n"/>
      <c r="AD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>
        <f>IF(T226="","",T226-TODAY())</f>
        <v/>
      </c>
      <c r="W226" s="10">
        <f>IF(T226="","",IF(T226&lt;TODAY(),"PAST EOS — UNSUPPORTED",IF(T226-TODAY()&lt;=365,"EOS within 12 months","Supported")))</f>
        <v/>
      </c>
      <c r="X226" s="10" t="n"/>
      <c r="Y226" s="10" t="n"/>
      <c r="Z226" s="10" t="n"/>
      <c r="AA226" s="10" t="n"/>
      <c r="AB226" s="10" t="n"/>
      <c r="AC226" s="10" t="n"/>
      <c r="AD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>
        <f>IF(T227="","",T227-TODAY())</f>
        <v/>
      </c>
      <c r="W227" s="10">
        <f>IF(T227="","",IF(T227&lt;TODAY(),"PAST EOS — UNSUPPORTED",IF(T227-TODAY()&lt;=365,"EOS within 12 months","Supported")))</f>
        <v/>
      </c>
      <c r="X227" s="10" t="n"/>
      <c r="Y227" s="10" t="n"/>
      <c r="Z227" s="10" t="n"/>
      <c r="AA227" s="10" t="n"/>
      <c r="AB227" s="10" t="n"/>
      <c r="AC227" s="10" t="n"/>
      <c r="AD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>
        <f>IF(T228="","",T228-TODAY())</f>
        <v/>
      </c>
      <c r="W228" s="10">
        <f>IF(T228="","",IF(T228&lt;TODAY(),"PAST EOS — UNSUPPORTED",IF(T228-TODAY()&lt;=365,"EOS within 12 months","Supported")))</f>
        <v/>
      </c>
      <c r="X228" s="10" t="n"/>
      <c r="Y228" s="10" t="n"/>
      <c r="Z228" s="10" t="n"/>
      <c r="AA228" s="10" t="n"/>
      <c r="AB228" s="10" t="n"/>
      <c r="AC228" s="10" t="n"/>
      <c r="AD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>
        <f>IF(T229="","",T229-TODAY())</f>
        <v/>
      </c>
      <c r="W229" s="10">
        <f>IF(T229="","",IF(T229&lt;TODAY(),"PAST EOS — UNSUPPORTED",IF(T229-TODAY()&lt;=365,"EOS within 12 months","Supported")))</f>
        <v/>
      </c>
      <c r="X229" s="10" t="n"/>
      <c r="Y229" s="10" t="n"/>
      <c r="Z229" s="10" t="n"/>
      <c r="AA229" s="10" t="n"/>
      <c r="AB229" s="10" t="n"/>
      <c r="AC229" s="10" t="n"/>
      <c r="AD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>
        <f>IF(T230="","",T230-TODAY())</f>
        <v/>
      </c>
      <c r="W230" s="10">
        <f>IF(T230="","",IF(T230&lt;TODAY(),"PAST EOS — UNSUPPORTED",IF(T230-TODAY()&lt;=365,"EOS within 12 months","Supported")))</f>
        <v/>
      </c>
      <c r="X230" s="10" t="n"/>
      <c r="Y230" s="10" t="n"/>
      <c r="Z230" s="10" t="n"/>
      <c r="AA230" s="10" t="n"/>
      <c r="AB230" s="10" t="n"/>
      <c r="AC230" s="10" t="n"/>
      <c r="AD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>
        <f>IF(T231="","",T231-TODAY())</f>
        <v/>
      </c>
      <c r="W231" s="10">
        <f>IF(T231="","",IF(T231&lt;TODAY(),"PAST EOS — UNSUPPORTED",IF(T231-TODAY()&lt;=365,"EOS within 12 months","Supported")))</f>
        <v/>
      </c>
      <c r="X231" s="10" t="n"/>
      <c r="Y231" s="10" t="n"/>
      <c r="Z231" s="10" t="n"/>
      <c r="AA231" s="10" t="n"/>
      <c r="AB231" s="10" t="n"/>
      <c r="AC231" s="10" t="n"/>
      <c r="AD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>
        <f>IF(T232="","",T232-TODAY())</f>
        <v/>
      </c>
      <c r="W232" s="10">
        <f>IF(T232="","",IF(T232&lt;TODAY(),"PAST EOS — UNSUPPORTED",IF(T232-TODAY()&lt;=365,"EOS within 12 months","Supported")))</f>
        <v/>
      </c>
      <c r="X232" s="10" t="n"/>
      <c r="Y232" s="10" t="n"/>
      <c r="Z232" s="10" t="n"/>
      <c r="AA232" s="10" t="n"/>
      <c r="AB232" s="10" t="n"/>
      <c r="AC232" s="10" t="n"/>
      <c r="AD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>
        <f>IF(T233="","",T233-TODAY())</f>
        <v/>
      </c>
      <c r="W233" s="10">
        <f>IF(T233="","",IF(T233&lt;TODAY(),"PAST EOS — UNSUPPORTED",IF(T233-TODAY()&lt;=365,"EOS within 12 months","Supported")))</f>
        <v/>
      </c>
      <c r="X233" s="10" t="n"/>
      <c r="Y233" s="10" t="n"/>
      <c r="Z233" s="10" t="n"/>
      <c r="AA233" s="10" t="n"/>
      <c r="AB233" s="10" t="n"/>
      <c r="AC233" s="10" t="n"/>
      <c r="AD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>
        <f>IF(T234="","",T234-TODAY())</f>
        <v/>
      </c>
      <c r="W234" s="10">
        <f>IF(T234="","",IF(T234&lt;TODAY(),"PAST EOS — UNSUPPORTED",IF(T234-TODAY()&lt;=365,"EOS within 12 months","Supported")))</f>
        <v/>
      </c>
      <c r="X234" s="10" t="n"/>
      <c r="Y234" s="10" t="n"/>
      <c r="Z234" s="10" t="n"/>
      <c r="AA234" s="10" t="n"/>
      <c r="AB234" s="10" t="n"/>
      <c r="AC234" s="10" t="n"/>
      <c r="AD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>
        <f>IF(T235="","",T235-TODAY())</f>
        <v/>
      </c>
      <c r="W235" s="10">
        <f>IF(T235="","",IF(T235&lt;TODAY(),"PAST EOS — UNSUPPORTED",IF(T235-TODAY()&lt;=365,"EOS within 12 months","Supported")))</f>
        <v/>
      </c>
      <c r="X235" s="10" t="n"/>
      <c r="Y235" s="10" t="n"/>
      <c r="Z235" s="10" t="n"/>
      <c r="AA235" s="10" t="n"/>
      <c r="AB235" s="10" t="n"/>
      <c r="AC235" s="10" t="n"/>
      <c r="AD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>
        <f>IF(T236="","",T236-TODAY())</f>
        <v/>
      </c>
      <c r="W236" s="10">
        <f>IF(T236="","",IF(T236&lt;TODAY(),"PAST EOS — UNSUPPORTED",IF(T236-TODAY()&lt;=365,"EOS within 12 months","Supported")))</f>
        <v/>
      </c>
      <c r="X236" s="10" t="n"/>
      <c r="Y236" s="10" t="n"/>
      <c r="Z236" s="10" t="n"/>
      <c r="AA236" s="10" t="n"/>
      <c r="AB236" s="10" t="n"/>
      <c r="AC236" s="10" t="n"/>
      <c r="AD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>
        <f>IF(T237="","",T237-TODAY())</f>
        <v/>
      </c>
      <c r="W237" s="10">
        <f>IF(T237="","",IF(T237&lt;TODAY(),"PAST EOS — UNSUPPORTED",IF(T237-TODAY()&lt;=365,"EOS within 12 months","Supported")))</f>
        <v/>
      </c>
      <c r="X237" s="10" t="n"/>
      <c r="Y237" s="10" t="n"/>
      <c r="Z237" s="10" t="n"/>
      <c r="AA237" s="10" t="n"/>
      <c r="AB237" s="10" t="n"/>
      <c r="AC237" s="10" t="n"/>
      <c r="AD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>
        <f>IF(T238="","",T238-TODAY())</f>
        <v/>
      </c>
      <c r="W238" s="10">
        <f>IF(T238="","",IF(T238&lt;TODAY(),"PAST EOS — UNSUPPORTED",IF(T238-TODAY()&lt;=365,"EOS within 12 months","Supported")))</f>
        <v/>
      </c>
      <c r="X238" s="10" t="n"/>
      <c r="Y238" s="10" t="n"/>
      <c r="Z238" s="10" t="n"/>
      <c r="AA238" s="10" t="n"/>
      <c r="AB238" s="10" t="n"/>
      <c r="AC238" s="10" t="n"/>
      <c r="AD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>
        <f>IF(T239="","",T239-TODAY())</f>
        <v/>
      </c>
      <c r="W239" s="10">
        <f>IF(T239="","",IF(T239&lt;TODAY(),"PAST EOS — UNSUPPORTED",IF(T239-TODAY()&lt;=365,"EOS within 12 months","Supported")))</f>
        <v/>
      </c>
      <c r="X239" s="10" t="n"/>
      <c r="Y239" s="10" t="n"/>
      <c r="Z239" s="10" t="n"/>
      <c r="AA239" s="10" t="n"/>
      <c r="AB239" s="10" t="n"/>
      <c r="AC239" s="10" t="n"/>
      <c r="AD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>
        <f>IF(T240="","",T240-TODAY())</f>
        <v/>
      </c>
      <c r="W240" s="10">
        <f>IF(T240="","",IF(T240&lt;TODAY(),"PAST EOS — UNSUPPORTED",IF(T240-TODAY()&lt;=365,"EOS within 12 months","Supported")))</f>
        <v/>
      </c>
      <c r="X240" s="10" t="n"/>
      <c r="Y240" s="10" t="n"/>
      <c r="Z240" s="10" t="n"/>
      <c r="AA240" s="10" t="n"/>
      <c r="AB240" s="10" t="n"/>
      <c r="AC240" s="10" t="n"/>
      <c r="AD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>
        <f>IF(T241="","",T241-TODAY())</f>
        <v/>
      </c>
      <c r="W241" s="10">
        <f>IF(T241="","",IF(T241&lt;TODAY(),"PAST EOS — UNSUPPORTED",IF(T241-TODAY()&lt;=365,"EOS within 12 months","Supported")))</f>
        <v/>
      </c>
      <c r="X241" s="10" t="n"/>
      <c r="Y241" s="10" t="n"/>
      <c r="Z241" s="10" t="n"/>
      <c r="AA241" s="10" t="n"/>
      <c r="AB241" s="10" t="n"/>
      <c r="AC241" s="10" t="n"/>
      <c r="AD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>
        <f>IF(T242="","",T242-TODAY())</f>
        <v/>
      </c>
      <c r="W242" s="10">
        <f>IF(T242="","",IF(T242&lt;TODAY(),"PAST EOS — UNSUPPORTED",IF(T242-TODAY()&lt;=365,"EOS within 12 months","Supported")))</f>
        <v/>
      </c>
      <c r="X242" s="10" t="n"/>
      <c r="Y242" s="10" t="n"/>
      <c r="Z242" s="10" t="n"/>
      <c r="AA242" s="10" t="n"/>
      <c r="AB242" s="10" t="n"/>
      <c r="AC242" s="10" t="n"/>
      <c r="AD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>
        <f>IF(T243="","",T243-TODAY())</f>
        <v/>
      </c>
      <c r="W243" s="10">
        <f>IF(T243="","",IF(T243&lt;TODAY(),"PAST EOS — UNSUPPORTED",IF(T243-TODAY()&lt;=365,"EOS within 12 months","Supported")))</f>
        <v/>
      </c>
      <c r="X243" s="10" t="n"/>
      <c r="Y243" s="10" t="n"/>
      <c r="Z243" s="10" t="n"/>
      <c r="AA243" s="10" t="n"/>
      <c r="AB243" s="10" t="n"/>
      <c r="AC243" s="10" t="n"/>
      <c r="AD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>
        <f>IF(T244="","",T244-TODAY())</f>
        <v/>
      </c>
      <c r="W244" s="10">
        <f>IF(T244="","",IF(T244&lt;TODAY(),"PAST EOS — UNSUPPORTED",IF(T244-TODAY()&lt;=365,"EOS within 12 months","Supported")))</f>
        <v/>
      </c>
      <c r="X244" s="10" t="n"/>
      <c r="Y244" s="10" t="n"/>
      <c r="Z244" s="10" t="n"/>
      <c r="AA244" s="10" t="n"/>
      <c r="AB244" s="10" t="n"/>
      <c r="AC244" s="10" t="n"/>
      <c r="AD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>
        <f>IF(T245="","",T245-TODAY())</f>
        <v/>
      </c>
      <c r="W245" s="10">
        <f>IF(T245="","",IF(T245&lt;TODAY(),"PAST EOS — UNSUPPORTED",IF(T245-TODAY()&lt;=365,"EOS within 12 months","Supported")))</f>
        <v/>
      </c>
      <c r="X245" s="10" t="n"/>
      <c r="Y245" s="10" t="n"/>
      <c r="Z245" s="10" t="n"/>
      <c r="AA245" s="10" t="n"/>
      <c r="AB245" s="10" t="n"/>
      <c r="AC245" s="10" t="n"/>
      <c r="AD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>
        <f>IF(T246="","",T246-TODAY())</f>
        <v/>
      </c>
      <c r="W246" s="10">
        <f>IF(T246="","",IF(T246&lt;TODAY(),"PAST EOS — UNSUPPORTED",IF(T246-TODAY()&lt;=365,"EOS within 12 months","Supported")))</f>
        <v/>
      </c>
      <c r="X246" s="10" t="n"/>
      <c r="Y246" s="10" t="n"/>
      <c r="Z246" s="10" t="n"/>
      <c r="AA246" s="10" t="n"/>
      <c r="AB246" s="10" t="n"/>
      <c r="AC246" s="10" t="n"/>
      <c r="AD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>
        <f>IF(T247="","",T247-TODAY())</f>
        <v/>
      </c>
      <c r="W247" s="10">
        <f>IF(T247="","",IF(T247&lt;TODAY(),"PAST EOS — UNSUPPORTED",IF(T247-TODAY()&lt;=365,"EOS within 12 months","Supported")))</f>
        <v/>
      </c>
      <c r="X247" s="10" t="n"/>
      <c r="Y247" s="10" t="n"/>
      <c r="Z247" s="10" t="n"/>
      <c r="AA247" s="10" t="n"/>
      <c r="AB247" s="10" t="n"/>
      <c r="AC247" s="10" t="n"/>
      <c r="AD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>
        <f>IF(T248="","",T248-TODAY())</f>
        <v/>
      </c>
      <c r="W248" s="10">
        <f>IF(T248="","",IF(T248&lt;TODAY(),"PAST EOS — UNSUPPORTED",IF(T248-TODAY()&lt;=365,"EOS within 12 months","Supported")))</f>
        <v/>
      </c>
      <c r="X248" s="10" t="n"/>
      <c r="Y248" s="10" t="n"/>
      <c r="Z248" s="10" t="n"/>
      <c r="AA248" s="10" t="n"/>
      <c r="AB248" s="10" t="n"/>
      <c r="AC248" s="10" t="n"/>
      <c r="AD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>
        <f>IF(T249="","",T249-TODAY())</f>
        <v/>
      </c>
      <c r="W249" s="10">
        <f>IF(T249="","",IF(T249&lt;TODAY(),"PAST EOS — UNSUPPORTED",IF(T249-TODAY()&lt;=365,"EOS within 12 months","Supported")))</f>
        <v/>
      </c>
      <c r="X249" s="10" t="n"/>
      <c r="Y249" s="10" t="n"/>
      <c r="Z249" s="10" t="n"/>
      <c r="AA249" s="10" t="n"/>
      <c r="AB249" s="10" t="n"/>
      <c r="AC249" s="10" t="n"/>
      <c r="AD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>
        <f>IF(T250="","",T250-TODAY())</f>
        <v/>
      </c>
      <c r="W250" s="10">
        <f>IF(T250="","",IF(T250&lt;TODAY(),"PAST EOS — UNSUPPORTED",IF(T250-TODAY()&lt;=365,"EOS within 12 months","Supported")))</f>
        <v/>
      </c>
      <c r="X250" s="10" t="n"/>
      <c r="Y250" s="10" t="n"/>
      <c r="Z250" s="10" t="n"/>
      <c r="AA250" s="10" t="n"/>
      <c r="AB250" s="10" t="n"/>
      <c r="AC250" s="10" t="n"/>
      <c r="AD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>
        <f>IF(T251="","",T251-TODAY())</f>
        <v/>
      </c>
      <c r="W251" s="10">
        <f>IF(T251="","",IF(T251&lt;TODAY(),"PAST EOS — UNSUPPORTED",IF(T251-TODAY()&lt;=365,"EOS within 12 months","Supported")))</f>
        <v/>
      </c>
      <c r="X251" s="10" t="n"/>
      <c r="Y251" s="10" t="n"/>
      <c r="Z251" s="10" t="n"/>
      <c r="AA251" s="10" t="n"/>
      <c r="AB251" s="10" t="n"/>
      <c r="AC251" s="10" t="n"/>
      <c r="AD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>
        <f>IF(T252="","",T252-TODAY())</f>
        <v/>
      </c>
      <c r="W252" s="10">
        <f>IF(T252="","",IF(T252&lt;TODAY(),"PAST EOS — UNSUPPORTED",IF(T252-TODAY()&lt;=365,"EOS within 12 months","Supported")))</f>
        <v/>
      </c>
      <c r="X252" s="10" t="n"/>
      <c r="Y252" s="10" t="n"/>
      <c r="Z252" s="10" t="n"/>
      <c r="AA252" s="10" t="n"/>
      <c r="AB252" s="10" t="n"/>
      <c r="AC252" s="10" t="n"/>
      <c r="AD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>
        <f>IF(T253="","",T253-TODAY())</f>
        <v/>
      </c>
      <c r="W253" s="10">
        <f>IF(T253="","",IF(T253&lt;TODAY(),"PAST EOS — UNSUPPORTED",IF(T253-TODAY()&lt;=365,"EOS within 12 months","Supported")))</f>
        <v/>
      </c>
      <c r="X253" s="10" t="n"/>
      <c r="Y253" s="10" t="n"/>
      <c r="Z253" s="10" t="n"/>
      <c r="AA253" s="10" t="n"/>
      <c r="AB253" s="10" t="n"/>
      <c r="AC253" s="10" t="n"/>
      <c r="AD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>
        <f>IF(T254="","",T254-TODAY())</f>
        <v/>
      </c>
      <c r="W254" s="10">
        <f>IF(T254="","",IF(T254&lt;TODAY(),"PAST EOS — UNSUPPORTED",IF(T254-TODAY()&lt;=365,"EOS within 12 months","Supported")))</f>
        <v/>
      </c>
      <c r="X254" s="10" t="n"/>
      <c r="Y254" s="10" t="n"/>
      <c r="Z254" s="10" t="n"/>
      <c r="AA254" s="10" t="n"/>
      <c r="AB254" s="10" t="n"/>
      <c r="AC254" s="10" t="n"/>
      <c r="AD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>
        <f>IF(T255="","",T255-TODAY())</f>
        <v/>
      </c>
      <c r="W255" s="10">
        <f>IF(T255="","",IF(T255&lt;TODAY(),"PAST EOS — UNSUPPORTED",IF(T255-TODAY()&lt;=365,"EOS within 12 months","Supported")))</f>
        <v/>
      </c>
      <c r="X255" s="10" t="n"/>
      <c r="Y255" s="10" t="n"/>
      <c r="Z255" s="10" t="n"/>
      <c r="AA255" s="10" t="n"/>
      <c r="AB255" s="10" t="n"/>
      <c r="AC255" s="10" t="n"/>
      <c r="AD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>
        <f>IF(T256="","",T256-TODAY())</f>
        <v/>
      </c>
      <c r="W256" s="10">
        <f>IF(T256="","",IF(T256&lt;TODAY(),"PAST EOS — UNSUPPORTED",IF(T256-TODAY()&lt;=365,"EOS within 12 months","Supported")))</f>
        <v/>
      </c>
      <c r="X256" s="10" t="n"/>
      <c r="Y256" s="10" t="n"/>
      <c r="Z256" s="10" t="n"/>
      <c r="AA256" s="10" t="n"/>
      <c r="AB256" s="10" t="n"/>
      <c r="AC256" s="10" t="n"/>
      <c r="AD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>
        <f>IF(T257="","",T257-TODAY())</f>
        <v/>
      </c>
      <c r="W257" s="10">
        <f>IF(T257="","",IF(T257&lt;TODAY(),"PAST EOS — UNSUPPORTED",IF(T257-TODAY()&lt;=365,"EOS within 12 months","Supported")))</f>
        <v/>
      </c>
      <c r="X257" s="10" t="n"/>
      <c r="Y257" s="10" t="n"/>
      <c r="Z257" s="10" t="n"/>
      <c r="AA257" s="10" t="n"/>
      <c r="AB257" s="10" t="n"/>
      <c r="AC257" s="10" t="n"/>
      <c r="AD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>
        <f>IF(T258="","",T258-TODAY())</f>
        <v/>
      </c>
      <c r="W258" s="10">
        <f>IF(T258="","",IF(T258&lt;TODAY(),"PAST EOS — UNSUPPORTED",IF(T258-TODAY()&lt;=365,"EOS within 12 months","Supported")))</f>
        <v/>
      </c>
      <c r="X258" s="10" t="n"/>
      <c r="Y258" s="10" t="n"/>
      <c r="Z258" s="10" t="n"/>
      <c r="AA258" s="10" t="n"/>
      <c r="AB258" s="10" t="n"/>
      <c r="AC258" s="10" t="n"/>
      <c r="AD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>
        <f>IF(T259="","",T259-TODAY())</f>
        <v/>
      </c>
      <c r="W259" s="10">
        <f>IF(T259="","",IF(T259&lt;TODAY(),"PAST EOS — UNSUPPORTED",IF(T259-TODAY()&lt;=365,"EOS within 12 months","Supported")))</f>
        <v/>
      </c>
      <c r="X259" s="10" t="n"/>
      <c r="Y259" s="10" t="n"/>
      <c r="Z259" s="10" t="n"/>
      <c r="AA259" s="10" t="n"/>
      <c r="AB259" s="10" t="n"/>
      <c r="AC259" s="10" t="n"/>
      <c r="AD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>
        <f>IF(T260="","",T260-TODAY())</f>
        <v/>
      </c>
      <c r="W260" s="10">
        <f>IF(T260="","",IF(T260&lt;TODAY(),"PAST EOS — UNSUPPORTED",IF(T260-TODAY()&lt;=365,"EOS within 12 months","Supported")))</f>
        <v/>
      </c>
      <c r="X260" s="10" t="n"/>
      <c r="Y260" s="10" t="n"/>
      <c r="Z260" s="10" t="n"/>
      <c r="AA260" s="10" t="n"/>
      <c r="AB260" s="10" t="n"/>
      <c r="AC260" s="10" t="n"/>
      <c r="AD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>
        <f>IF(T261="","",T261-TODAY())</f>
        <v/>
      </c>
      <c r="W261" s="10">
        <f>IF(T261="","",IF(T261&lt;TODAY(),"PAST EOS — UNSUPPORTED",IF(T261-TODAY()&lt;=365,"EOS within 12 months","Supported")))</f>
        <v/>
      </c>
      <c r="X261" s="10" t="n"/>
      <c r="Y261" s="10" t="n"/>
      <c r="Z261" s="10" t="n"/>
      <c r="AA261" s="10" t="n"/>
      <c r="AB261" s="10" t="n"/>
      <c r="AC261" s="10" t="n"/>
      <c r="AD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>
        <f>IF(T262="","",T262-TODAY())</f>
        <v/>
      </c>
      <c r="W262" s="10">
        <f>IF(T262="","",IF(T262&lt;TODAY(),"PAST EOS — UNSUPPORTED",IF(T262-TODAY()&lt;=365,"EOS within 12 months","Supported")))</f>
        <v/>
      </c>
      <c r="X262" s="10" t="n"/>
      <c r="Y262" s="10" t="n"/>
      <c r="Z262" s="10" t="n"/>
      <c r="AA262" s="10" t="n"/>
      <c r="AB262" s="10" t="n"/>
      <c r="AC262" s="10" t="n"/>
      <c r="AD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>
        <f>IF(T263="","",T263-TODAY())</f>
        <v/>
      </c>
      <c r="W263" s="10">
        <f>IF(T263="","",IF(T263&lt;TODAY(),"PAST EOS — UNSUPPORTED",IF(T263-TODAY()&lt;=365,"EOS within 12 months","Supported")))</f>
        <v/>
      </c>
      <c r="X263" s="10" t="n"/>
      <c r="Y263" s="10" t="n"/>
      <c r="Z263" s="10" t="n"/>
      <c r="AA263" s="10" t="n"/>
      <c r="AB263" s="10" t="n"/>
      <c r="AC263" s="10" t="n"/>
      <c r="AD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>
        <f>IF(T264="","",T264-TODAY())</f>
        <v/>
      </c>
      <c r="W264" s="10">
        <f>IF(T264="","",IF(T264&lt;TODAY(),"PAST EOS — UNSUPPORTED",IF(T264-TODAY()&lt;=365,"EOS within 12 months","Supported")))</f>
        <v/>
      </c>
      <c r="X264" s="10" t="n"/>
      <c r="Y264" s="10" t="n"/>
      <c r="Z264" s="10" t="n"/>
      <c r="AA264" s="10" t="n"/>
      <c r="AB264" s="10" t="n"/>
      <c r="AC264" s="10" t="n"/>
      <c r="AD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>
        <f>IF(T265="","",T265-TODAY())</f>
        <v/>
      </c>
      <c r="W265" s="10">
        <f>IF(T265="","",IF(T265&lt;TODAY(),"PAST EOS — UNSUPPORTED",IF(T265-TODAY()&lt;=365,"EOS within 12 months","Supported")))</f>
        <v/>
      </c>
      <c r="X265" s="10" t="n"/>
      <c r="Y265" s="10" t="n"/>
      <c r="Z265" s="10" t="n"/>
      <c r="AA265" s="10" t="n"/>
      <c r="AB265" s="10" t="n"/>
      <c r="AC265" s="10" t="n"/>
      <c r="AD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>
        <f>IF(T266="","",T266-TODAY())</f>
        <v/>
      </c>
      <c r="W266" s="10">
        <f>IF(T266="","",IF(T266&lt;TODAY(),"PAST EOS — UNSUPPORTED",IF(T266-TODAY()&lt;=365,"EOS within 12 months","Supported")))</f>
        <v/>
      </c>
      <c r="X266" s="10" t="n"/>
      <c r="Y266" s="10" t="n"/>
      <c r="Z266" s="10" t="n"/>
      <c r="AA266" s="10" t="n"/>
      <c r="AB266" s="10" t="n"/>
      <c r="AC266" s="10" t="n"/>
      <c r="AD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>
        <f>IF(T267="","",T267-TODAY())</f>
        <v/>
      </c>
      <c r="W267" s="10">
        <f>IF(T267="","",IF(T267&lt;TODAY(),"PAST EOS — UNSUPPORTED",IF(T267-TODAY()&lt;=365,"EOS within 12 months","Supported")))</f>
        <v/>
      </c>
      <c r="X267" s="10" t="n"/>
      <c r="Y267" s="10" t="n"/>
      <c r="Z267" s="10" t="n"/>
      <c r="AA267" s="10" t="n"/>
      <c r="AB267" s="10" t="n"/>
      <c r="AC267" s="10" t="n"/>
      <c r="AD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>
        <f>IF(T268="","",T268-TODAY())</f>
        <v/>
      </c>
      <c r="W268" s="10">
        <f>IF(T268="","",IF(T268&lt;TODAY(),"PAST EOS — UNSUPPORTED",IF(T268-TODAY()&lt;=365,"EOS within 12 months","Supported")))</f>
        <v/>
      </c>
      <c r="X268" s="10" t="n"/>
      <c r="Y268" s="10" t="n"/>
      <c r="Z268" s="10" t="n"/>
      <c r="AA268" s="10" t="n"/>
      <c r="AB268" s="10" t="n"/>
      <c r="AC268" s="10" t="n"/>
      <c r="AD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>
        <f>IF(T269="","",T269-TODAY())</f>
        <v/>
      </c>
      <c r="W269" s="10">
        <f>IF(T269="","",IF(T269&lt;TODAY(),"PAST EOS — UNSUPPORTED",IF(T269-TODAY()&lt;=365,"EOS within 12 months","Supported")))</f>
        <v/>
      </c>
      <c r="X269" s="10" t="n"/>
      <c r="Y269" s="10" t="n"/>
      <c r="Z269" s="10" t="n"/>
      <c r="AA269" s="10" t="n"/>
      <c r="AB269" s="10" t="n"/>
      <c r="AC269" s="10" t="n"/>
      <c r="AD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>
        <f>IF(T270="","",T270-TODAY())</f>
        <v/>
      </c>
      <c r="W270" s="10">
        <f>IF(T270="","",IF(T270&lt;TODAY(),"PAST EOS — UNSUPPORTED",IF(T270-TODAY()&lt;=365,"EOS within 12 months","Supported")))</f>
        <v/>
      </c>
      <c r="X270" s="10" t="n"/>
      <c r="Y270" s="10" t="n"/>
      <c r="Z270" s="10" t="n"/>
      <c r="AA270" s="10" t="n"/>
      <c r="AB270" s="10" t="n"/>
      <c r="AC270" s="10" t="n"/>
      <c r="AD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>
        <f>IF(T271="","",T271-TODAY())</f>
        <v/>
      </c>
      <c r="W271" s="10">
        <f>IF(T271="","",IF(T271&lt;TODAY(),"PAST EOS — UNSUPPORTED",IF(T271-TODAY()&lt;=365,"EOS within 12 months","Supported")))</f>
        <v/>
      </c>
      <c r="X271" s="10" t="n"/>
      <c r="Y271" s="10" t="n"/>
      <c r="Z271" s="10" t="n"/>
      <c r="AA271" s="10" t="n"/>
      <c r="AB271" s="10" t="n"/>
      <c r="AC271" s="10" t="n"/>
      <c r="AD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>
        <f>IF(T272="","",T272-TODAY())</f>
        <v/>
      </c>
      <c r="W272" s="10">
        <f>IF(T272="","",IF(T272&lt;TODAY(),"PAST EOS — UNSUPPORTED",IF(T272-TODAY()&lt;=365,"EOS within 12 months","Supported")))</f>
        <v/>
      </c>
      <c r="X272" s="10" t="n"/>
      <c r="Y272" s="10" t="n"/>
      <c r="Z272" s="10" t="n"/>
      <c r="AA272" s="10" t="n"/>
      <c r="AB272" s="10" t="n"/>
      <c r="AC272" s="10" t="n"/>
      <c r="AD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>
        <f>IF(T273="","",T273-TODAY())</f>
        <v/>
      </c>
      <c r="W273" s="10">
        <f>IF(T273="","",IF(T273&lt;TODAY(),"PAST EOS — UNSUPPORTED",IF(T273-TODAY()&lt;=365,"EOS within 12 months","Supported")))</f>
        <v/>
      </c>
      <c r="X273" s="10" t="n"/>
      <c r="Y273" s="10" t="n"/>
      <c r="Z273" s="10" t="n"/>
      <c r="AA273" s="10" t="n"/>
      <c r="AB273" s="10" t="n"/>
      <c r="AC273" s="10" t="n"/>
      <c r="AD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>
        <f>IF(T274="","",T274-TODAY())</f>
        <v/>
      </c>
      <c r="W274" s="10">
        <f>IF(T274="","",IF(T274&lt;TODAY(),"PAST EOS — UNSUPPORTED",IF(T274-TODAY()&lt;=365,"EOS within 12 months","Supported")))</f>
        <v/>
      </c>
      <c r="X274" s="10" t="n"/>
      <c r="Y274" s="10" t="n"/>
      <c r="Z274" s="10" t="n"/>
      <c r="AA274" s="10" t="n"/>
      <c r="AB274" s="10" t="n"/>
      <c r="AC274" s="10" t="n"/>
      <c r="AD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>
        <f>IF(T275="","",T275-TODAY())</f>
        <v/>
      </c>
      <c r="W275" s="10">
        <f>IF(T275="","",IF(T275&lt;TODAY(),"PAST EOS — UNSUPPORTED",IF(T275-TODAY()&lt;=365,"EOS within 12 months","Supported")))</f>
        <v/>
      </c>
      <c r="X275" s="10" t="n"/>
      <c r="Y275" s="10" t="n"/>
      <c r="Z275" s="10" t="n"/>
      <c r="AA275" s="10" t="n"/>
      <c r="AB275" s="10" t="n"/>
      <c r="AC275" s="10" t="n"/>
      <c r="AD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>
        <f>IF(T276="","",T276-TODAY())</f>
        <v/>
      </c>
      <c r="W276" s="10">
        <f>IF(T276="","",IF(T276&lt;TODAY(),"PAST EOS — UNSUPPORTED",IF(T276-TODAY()&lt;=365,"EOS within 12 months","Supported")))</f>
        <v/>
      </c>
      <c r="X276" s="10" t="n"/>
      <c r="Y276" s="10" t="n"/>
      <c r="Z276" s="10" t="n"/>
      <c r="AA276" s="10" t="n"/>
      <c r="AB276" s="10" t="n"/>
      <c r="AC276" s="10" t="n"/>
      <c r="AD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>
        <f>IF(T277="","",T277-TODAY())</f>
        <v/>
      </c>
      <c r="W277" s="10">
        <f>IF(T277="","",IF(T277&lt;TODAY(),"PAST EOS — UNSUPPORTED",IF(T277-TODAY()&lt;=365,"EOS within 12 months","Supported")))</f>
        <v/>
      </c>
      <c r="X277" s="10" t="n"/>
      <c r="Y277" s="10" t="n"/>
      <c r="Z277" s="10" t="n"/>
      <c r="AA277" s="10" t="n"/>
      <c r="AB277" s="10" t="n"/>
      <c r="AC277" s="10" t="n"/>
      <c r="AD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>
        <f>IF(T278="","",T278-TODAY())</f>
        <v/>
      </c>
      <c r="W278" s="10">
        <f>IF(T278="","",IF(T278&lt;TODAY(),"PAST EOS — UNSUPPORTED",IF(T278-TODAY()&lt;=365,"EOS within 12 months","Supported")))</f>
        <v/>
      </c>
      <c r="X278" s="10" t="n"/>
      <c r="Y278" s="10" t="n"/>
      <c r="Z278" s="10" t="n"/>
      <c r="AA278" s="10" t="n"/>
      <c r="AB278" s="10" t="n"/>
      <c r="AC278" s="10" t="n"/>
      <c r="AD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>
        <f>IF(T279="","",T279-TODAY())</f>
        <v/>
      </c>
      <c r="W279" s="10">
        <f>IF(T279="","",IF(T279&lt;TODAY(),"PAST EOS — UNSUPPORTED",IF(T279-TODAY()&lt;=365,"EOS within 12 months","Supported")))</f>
        <v/>
      </c>
      <c r="X279" s="10" t="n"/>
      <c r="Y279" s="10" t="n"/>
      <c r="Z279" s="10" t="n"/>
      <c r="AA279" s="10" t="n"/>
      <c r="AB279" s="10" t="n"/>
      <c r="AC279" s="10" t="n"/>
      <c r="AD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>
        <f>IF(T280="","",T280-TODAY())</f>
        <v/>
      </c>
      <c r="W280" s="10">
        <f>IF(T280="","",IF(T280&lt;TODAY(),"PAST EOS — UNSUPPORTED",IF(T280-TODAY()&lt;=365,"EOS within 12 months","Supported")))</f>
        <v/>
      </c>
      <c r="X280" s="10" t="n"/>
      <c r="Y280" s="10" t="n"/>
      <c r="Z280" s="10" t="n"/>
      <c r="AA280" s="10" t="n"/>
      <c r="AB280" s="10" t="n"/>
      <c r="AC280" s="10" t="n"/>
      <c r="AD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>
        <f>IF(T281="","",T281-TODAY())</f>
        <v/>
      </c>
      <c r="W281" s="10">
        <f>IF(T281="","",IF(T281&lt;TODAY(),"PAST EOS — UNSUPPORTED",IF(T281-TODAY()&lt;=365,"EOS within 12 months","Supported")))</f>
        <v/>
      </c>
      <c r="X281" s="10" t="n"/>
      <c r="Y281" s="10" t="n"/>
      <c r="Z281" s="10" t="n"/>
      <c r="AA281" s="10" t="n"/>
      <c r="AB281" s="10" t="n"/>
      <c r="AC281" s="10" t="n"/>
      <c r="AD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>
        <f>IF(T282="","",T282-TODAY())</f>
        <v/>
      </c>
      <c r="W282" s="10">
        <f>IF(T282="","",IF(T282&lt;TODAY(),"PAST EOS — UNSUPPORTED",IF(T282-TODAY()&lt;=365,"EOS within 12 months","Supported")))</f>
        <v/>
      </c>
      <c r="X282" s="10" t="n"/>
      <c r="Y282" s="10" t="n"/>
      <c r="Z282" s="10" t="n"/>
      <c r="AA282" s="10" t="n"/>
      <c r="AB282" s="10" t="n"/>
      <c r="AC282" s="10" t="n"/>
      <c r="AD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>
        <f>IF(T283="","",T283-TODAY())</f>
        <v/>
      </c>
      <c r="W283" s="10">
        <f>IF(T283="","",IF(T283&lt;TODAY(),"PAST EOS — UNSUPPORTED",IF(T283-TODAY()&lt;=365,"EOS within 12 months","Supported")))</f>
        <v/>
      </c>
      <c r="X283" s="10" t="n"/>
      <c r="Y283" s="10" t="n"/>
      <c r="Z283" s="10" t="n"/>
      <c r="AA283" s="10" t="n"/>
      <c r="AB283" s="10" t="n"/>
      <c r="AC283" s="10" t="n"/>
      <c r="AD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>
        <f>IF(T284="","",T284-TODAY())</f>
        <v/>
      </c>
      <c r="W284" s="10">
        <f>IF(T284="","",IF(T284&lt;TODAY(),"PAST EOS — UNSUPPORTED",IF(T284-TODAY()&lt;=365,"EOS within 12 months","Supported")))</f>
        <v/>
      </c>
      <c r="X284" s="10" t="n"/>
      <c r="Y284" s="10" t="n"/>
      <c r="Z284" s="10" t="n"/>
      <c r="AA284" s="10" t="n"/>
      <c r="AB284" s="10" t="n"/>
      <c r="AC284" s="10" t="n"/>
      <c r="AD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>
        <f>IF(T285="","",T285-TODAY())</f>
        <v/>
      </c>
      <c r="W285" s="10">
        <f>IF(T285="","",IF(T285&lt;TODAY(),"PAST EOS — UNSUPPORTED",IF(T285-TODAY()&lt;=365,"EOS within 12 months","Supported")))</f>
        <v/>
      </c>
      <c r="X285" s="10" t="n"/>
      <c r="Y285" s="10" t="n"/>
      <c r="Z285" s="10" t="n"/>
      <c r="AA285" s="10" t="n"/>
      <c r="AB285" s="10" t="n"/>
      <c r="AC285" s="10" t="n"/>
      <c r="AD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>
        <f>IF(T286="","",T286-TODAY())</f>
        <v/>
      </c>
      <c r="W286" s="10">
        <f>IF(T286="","",IF(T286&lt;TODAY(),"PAST EOS — UNSUPPORTED",IF(T286-TODAY()&lt;=365,"EOS within 12 months","Supported")))</f>
        <v/>
      </c>
      <c r="X286" s="10" t="n"/>
      <c r="Y286" s="10" t="n"/>
      <c r="Z286" s="10" t="n"/>
      <c r="AA286" s="10" t="n"/>
      <c r="AB286" s="10" t="n"/>
      <c r="AC286" s="10" t="n"/>
      <c r="AD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>
        <f>IF(T287="","",T287-TODAY())</f>
        <v/>
      </c>
      <c r="W287" s="10">
        <f>IF(T287="","",IF(T287&lt;TODAY(),"PAST EOS — UNSUPPORTED",IF(T287-TODAY()&lt;=365,"EOS within 12 months","Supported")))</f>
        <v/>
      </c>
      <c r="X287" s="10" t="n"/>
      <c r="Y287" s="10" t="n"/>
      <c r="Z287" s="10" t="n"/>
      <c r="AA287" s="10" t="n"/>
      <c r="AB287" s="10" t="n"/>
      <c r="AC287" s="10" t="n"/>
      <c r="AD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>
        <f>IF(T288="","",T288-TODAY())</f>
        <v/>
      </c>
      <c r="W288" s="10">
        <f>IF(T288="","",IF(T288&lt;TODAY(),"PAST EOS — UNSUPPORTED",IF(T288-TODAY()&lt;=365,"EOS within 12 months","Supported")))</f>
        <v/>
      </c>
      <c r="X288" s="10" t="n"/>
      <c r="Y288" s="10" t="n"/>
      <c r="Z288" s="10" t="n"/>
      <c r="AA288" s="10" t="n"/>
      <c r="AB288" s="10" t="n"/>
      <c r="AC288" s="10" t="n"/>
      <c r="AD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>
        <f>IF(T289="","",T289-TODAY())</f>
        <v/>
      </c>
      <c r="W289" s="10">
        <f>IF(T289="","",IF(T289&lt;TODAY(),"PAST EOS — UNSUPPORTED",IF(T289-TODAY()&lt;=365,"EOS within 12 months","Supported")))</f>
        <v/>
      </c>
      <c r="X289" s="10" t="n"/>
      <c r="Y289" s="10" t="n"/>
      <c r="Z289" s="10" t="n"/>
      <c r="AA289" s="10" t="n"/>
      <c r="AB289" s="10" t="n"/>
      <c r="AC289" s="10" t="n"/>
      <c r="AD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>
        <f>IF(T290="","",T290-TODAY())</f>
        <v/>
      </c>
      <c r="W290" s="10">
        <f>IF(T290="","",IF(T290&lt;TODAY(),"PAST EOS — UNSUPPORTED",IF(T290-TODAY()&lt;=365,"EOS within 12 months","Supported")))</f>
        <v/>
      </c>
      <c r="X290" s="10" t="n"/>
      <c r="Y290" s="10" t="n"/>
      <c r="Z290" s="10" t="n"/>
      <c r="AA290" s="10" t="n"/>
      <c r="AB290" s="10" t="n"/>
      <c r="AC290" s="10" t="n"/>
      <c r="AD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>
        <f>IF(T291="","",T291-TODAY())</f>
        <v/>
      </c>
      <c r="W291" s="10">
        <f>IF(T291="","",IF(T291&lt;TODAY(),"PAST EOS — UNSUPPORTED",IF(T291-TODAY()&lt;=365,"EOS within 12 months","Supported")))</f>
        <v/>
      </c>
      <c r="X291" s="10" t="n"/>
      <c r="Y291" s="10" t="n"/>
      <c r="Z291" s="10" t="n"/>
      <c r="AA291" s="10" t="n"/>
      <c r="AB291" s="10" t="n"/>
      <c r="AC291" s="10" t="n"/>
      <c r="AD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>
        <f>IF(T292="","",T292-TODAY())</f>
        <v/>
      </c>
      <c r="W292" s="10">
        <f>IF(T292="","",IF(T292&lt;TODAY(),"PAST EOS — UNSUPPORTED",IF(T292-TODAY()&lt;=365,"EOS within 12 months","Supported")))</f>
        <v/>
      </c>
      <c r="X292" s="10" t="n"/>
      <c r="Y292" s="10" t="n"/>
      <c r="Z292" s="10" t="n"/>
      <c r="AA292" s="10" t="n"/>
      <c r="AB292" s="10" t="n"/>
      <c r="AC292" s="10" t="n"/>
      <c r="AD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>
        <f>IF(T293="","",T293-TODAY())</f>
        <v/>
      </c>
      <c r="W293" s="10">
        <f>IF(T293="","",IF(T293&lt;TODAY(),"PAST EOS — UNSUPPORTED",IF(T293-TODAY()&lt;=365,"EOS within 12 months","Supported")))</f>
        <v/>
      </c>
      <c r="X293" s="10" t="n"/>
      <c r="Y293" s="10" t="n"/>
      <c r="Z293" s="10" t="n"/>
      <c r="AA293" s="10" t="n"/>
      <c r="AB293" s="10" t="n"/>
      <c r="AC293" s="10" t="n"/>
      <c r="AD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>
        <f>IF(T294="","",T294-TODAY())</f>
        <v/>
      </c>
      <c r="W294" s="10">
        <f>IF(T294="","",IF(T294&lt;TODAY(),"PAST EOS — UNSUPPORTED",IF(T294-TODAY()&lt;=365,"EOS within 12 months","Supported")))</f>
        <v/>
      </c>
      <c r="X294" s="10" t="n"/>
      <c r="Y294" s="10" t="n"/>
      <c r="Z294" s="10" t="n"/>
      <c r="AA294" s="10" t="n"/>
      <c r="AB294" s="10" t="n"/>
      <c r="AC294" s="10" t="n"/>
      <c r="AD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>
        <f>IF(T295="","",T295-TODAY())</f>
        <v/>
      </c>
      <c r="W295" s="10">
        <f>IF(T295="","",IF(T295&lt;TODAY(),"PAST EOS — UNSUPPORTED",IF(T295-TODAY()&lt;=365,"EOS within 12 months","Supported")))</f>
        <v/>
      </c>
      <c r="X295" s="10" t="n"/>
      <c r="Y295" s="10" t="n"/>
      <c r="Z295" s="10" t="n"/>
      <c r="AA295" s="10" t="n"/>
      <c r="AB295" s="10" t="n"/>
      <c r="AC295" s="10" t="n"/>
      <c r="AD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>
        <f>IF(T296="","",T296-TODAY())</f>
        <v/>
      </c>
      <c r="W296" s="10">
        <f>IF(T296="","",IF(T296&lt;TODAY(),"PAST EOS — UNSUPPORTED",IF(T296-TODAY()&lt;=365,"EOS within 12 months","Supported")))</f>
        <v/>
      </c>
      <c r="X296" s="10" t="n"/>
      <c r="Y296" s="10" t="n"/>
      <c r="Z296" s="10" t="n"/>
      <c r="AA296" s="10" t="n"/>
      <c r="AB296" s="10" t="n"/>
      <c r="AC296" s="10" t="n"/>
      <c r="AD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>
        <f>IF(T297="","",T297-TODAY())</f>
        <v/>
      </c>
      <c r="W297" s="10">
        <f>IF(T297="","",IF(T297&lt;TODAY(),"PAST EOS — UNSUPPORTED",IF(T297-TODAY()&lt;=365,"EOS within 12 months","Supported")))</f>
        <v/>
      </c>
      <c r="X297" s="10" t="n"/>
      <c r="Y297" s="10" t="n"/>
      <c r="Z297" s="10" t="n"/>
      <c r="AA297" s="10" t="n"/>
      <c r="AB297" s="10" t="n"/>
      <c r="AC297" s="10" t="n"/>
      <c r="AD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>
        <f>IF(T298="","",T298-TODAY())</f>
        <v/>
      </c>
      <c r="W298" s="10">
        <f>IF(T298="","",IF(T298&lt;TODAY(),"PAST EOS — UNSUPPORTED",IF(T298-TODAY()&lt;=365,"EOS within 12 months","Supported")))</f>
        <v/>
      </c>
      <c r="X298" s="10" t="n"/>
      <c r="Y298" s="10" t="n"/>
      <c r="Z298" s="10" t="n"/>
      <c r="AA298" s="10" t="n"/>
      <c r="AB298" s="10" t="n"/>
      <c r="AC298" s="10" t="n"/>
      <c r="AD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>
        <f>IF(T299="","",T299-TODAY())</f>
        <v/>
      </c>
      <c r="W299" s="10">
        <f>IF(T299="","",IF(T299&lt;TODAY(),"PAST EOS — UNSUPPORTED",IF(T299-TODAY()&lt;=365,"EOS within 12 months","Supported")))</f>
        <v/>
      </c>
      <c r="X299" s="10" t="n"/>
      <c r="Y299" s="10" t="n"/>
      <c r="Z299" s="10" t="n"/>
      <c r="AA299" s="10" t="n"/>
      <c r="AB299" s="10" t="n"/>
      <c r="AC299" s="10" t="n"/>
      <c r="AD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>
        <f>IF(T300="","",T300-TODAY())</f>
        <v/>
      </c>
      <c r="W300" s="10">
        <f>IF(T300="","",IF(T300&lt;TODAY(),"PAST EOS — UNSUPPORTED",IF(T300-TODAY()&lt;=365,"EOS within 12 months","Supported")))</f>
        <v/>
      </c>
      <c r="X300" s="10" t="n"/>
      <c r="Y300" s="10" t="n"/>
      <c r="Z300" s="10" t="n"/>
      <c r="AA300" s="10" t="n"/>
      <c r="AB300" s="10" t="n"/>
      <c r="AC300" s="10" t="n"/>
      <c r="AD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>
        <f>IF(T301="","",T301-TODAY())</f>
        <v/>
      </c>
      <c r="W301" s="10">
        <f>IF(T301="","",IF(T301&lt;TODAY(),"PAST EOS — UNSUPPORTED",IF(T301-TODAY()&lt;=365,"EOS within 12 months","Supported")))</f>
        <v/>
      </c>
      <c r="X301" s="10" t="n"/>
      <c r="Y301" s="10" t="n"/>
      <c r="Z301" s="10" t="n"/>
      <c r="AA301" s="10" t="n"/>
      <c r="AB301" s="10" t="n"/>
      <c r="AC301" s="10" t="n"/>
      <c r="AD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>
        <f>IF(T302="","",T302-TODAY())</f>
        <v/>
      </c>
      <c r="W302" s="10">
        <f>IF(T302="","",IF(T302&lt;TODAY(),"PAST EOS — UNSUPPORTED",IF(T302-TODAY()&lt;=365,"EOS within 12 months","Supported")))</f>
        <v/>
      </c>
      <c r="X302" s="10" t="n"/>
      <c r="Y302" s="10" t="n"/>
      <c r="Z302" s="10" t="n"/>
      <c r="AA302" s="10" t="n"/>
      <c r="AB302" s="10" t="n"/>
      <c r="AC302" s="10" t="n"/>
      <c r="AD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>
        <f>IF(T303="","",T303-TODAY())</f>
        <v/>
      </c>
      <c r="W303" s="10">
        <f>IF(T303="","",IF(T303&lt;TODAY(),"PAST EOS — UNSUPPORTED",IF(T303-TODAY()&lt;=365,"EOS within 12 months","Supported")))</f>
        <v/>
      </c>
      <c r="X303" s="10" t="n"/>
      <c r="Y303" s="10" t="n"/>
      <c r="Z303" s="10" t="n"/>
      <c r="AA303" s="10" t="n"/>
      <c r="AB303" s="10" t="n"/>
      <c r="AC303" s="10" t="n"/>
      <c r="AD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>
        <f>IF(T304="","",T304-TODAY())</f>
        <v/>
      </c>
      <c r="W304" s="10">
        <f>IF(T304="","",IF(T304&lt;TODAY(),"PAST EOS — UNSUPPORTED",IF(T304-TODAY()&lt;=365,"EOS within 12 months","Supported")))</f>
        <v/>
      </c>
      <c r="X304" s="10" t="n"/>
      <c r="Y304" s="10" t="n"/>
      <c r="Z304" s="10" t="n"/>
      <c r="AA304" s="10" t="n"/>
      <c r="AB304" s="10" t="n"/>
      <c r="AC304" s="10" t="n"/>
      <c r="AD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>
        <f>IF(T305="","",T305-TODAY())</f>
        <v/>
      </c>
      <c r="W305" s="10">
        <f>IF(T305="","",IF(T305&lt;TODAY(),"PAST EOS — UNSUPPORTED",IF(T305-TODAY()&lt;=365,"EOS within 12 months","Supported")))</f>
        <v/>
      </c>
      <c r="X305" s="10" t="n"/>
      <c r="Y305" s="10" t="n"/>
      <c r="Z305" s="10" t="n"/>
      <c r="AA305" s="10" t="n"/>
      <c r="AB305" s="10" t="n"/>
      <c r="AC305" s="10" t="n"/>
      <c r="AD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>
        <f>IF(T306="","",T306-TODAY())</f>
        <v/>
      </c>
      <c r="W306" s="10">
        <f>IF(T306="","",IF(T306&lt;TODAY(),"PAST EOS — UNSUPPORTED",IF(T306-TODAY()&lt;=365,"EOS within 12 months","Supported")))</f>
        <v/>
      </c>
      <c r="X306" s="10" t="n"/>
      <c r="Y306" s="10" t="n"/>
      <c r="Z306" s="10" t="n"/>
      <c r="AA306" s="10" t="n"/>
      <c r="AB306" s="10" t="n"/>
      <c r="AC306" s="10" t="n"/>
      <c r="AD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>
        <f>IF(T307="","",T307-TODAY())</f>
        <v/>
      </c>
      <c r="W307" s="10">
        <f>IF(T307="","",IF(T307&lt;TODAY(),"PAST EOS — UNSUPPORTED",IF(T307-TODAY()&lt;=365,"EOS within 12 months","Supported")))</f>
        <v/>
      </c>
      <c r="X307" s="10" t="n"/>
      <c r="Y307" s="10" t="n"/>
      <c r="Z307" s="10" t="n"/>
      <c r="AA307" s="10" t="n"/>
      <c r="AB307" s="10" t="n"/>
      <c r="AC307" s="10" t="n"/>
      <c r="AD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>
        <f>IF(T308="","",T308-TODAY())</f>
        <v/>
      </c>
      <c r="W308" s="10">
        <f>IF(T308="","",IF(T308&lt;TODAY(),"PAST EOS — UNSUPPORTED",IF(T308-TODAY()&lt;=365,"EOS within 12 months","Supported")))</f>
        <v/>
      </c>
      <c r="X308" s="10" t="n"/>
      <c r="Y308" s="10" t="n"/>
      <c r="Z308" s="10" t="n"/>
      <c r="AA308" s="10" t="n"/>
      <c r="AB308" s="10" t="n"/>
      <c r="AC308" s="10" t="n"/>
      <c r="AD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>
        <f>IF(T309="","",T309-TODAY())</f>
        <v/>
      </c>
      <c r="W309" s="10">
        <f>IF(T309="","",IF(T309&lt;TODAY(),"PAST EOS — UNSUPPORTED",IF(T309-TODAY()&lt;=365,"EOS within 12 months","Supported")))</f>
        <v/>
      </c>
      <c r="X309" s="10" t="n"/>
      <c r="Y309" s="10" t="n"/>
      <c r="Z309" s="10" t="n"/>
      <c r="AA309" s="10" t="n"/>
      <c r="AB309" s="10" t="n"/>
      <c r="AC309" s="10" t="n"/>
      <c r="AD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>
        <f>IF(T310="","",T310-TODAY())</f>
        <v/>
      </c>
      <c r="W310" s="10">
        <f>IF(T310="","",IF(T310&lt;TODAY(),"PAST EOS — UNSUPPORTED",IF(T310-TODAY()&lt;=365,"EOS within 12 months","Supported")))</f>
        <v/>
      </c>
      <c r="X310" s="10" t="n"/>
      <c r="Y310" s="10" t="n"/>
      <c r="Z310" s="10" t="n"/>
      <c r="AA310" s="10" t="n"/>
      <c r="AB310" s="10" t="n"/>
      <c r="AC310" s="10" t="n"/>
      <c r="AD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>
        <f>IF(T311="","",T311-TODAY())</f>
        <v/>
      </c>
      <c r="W311" s="10">
        <f>IF(T311="","",IF(T311&lt;TODAY(),"PAST EOS — UNSUPPORTED",IF(T311-TODAY()&lt;=365,"EOS within 12 months","Supported")))</f>
        <v/>
      </c>
      <c r="X311" s="10" t="n"/>
      <c r="Y311" s="10" t="n"/>
      <c r="Z311" s="10" t="n"/>
      <c r="AA311" s="10" t="n"/>
      <c r="AB311" s="10" t="n"/>
      <c r="AC311" s="10" t="n"/>
      <c r="AD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>
        <f>IF(T312="","",T312-TODAY())</f>
        <v/>
      </c>
      <c r="W312" s="10">
        <f>IF(T312="","",IF(T312&lt;TODAY(),"PAST EOS — UNSUPPORTED",IF(T312-TODAY()&lt;=365,"EOS within 12 months","Supported")))</f>
        <v/>
      </c>
      <c r="X312" s="10" t="n"/>
      <c r="Y312" s="10" t="n"/>
      <c r="Z312" s="10" t="n"/>
      <c r="AA312" s="10" t="n"/>
      <c r="AB312" s="10" t="n"/>
      <c r="AC312" s="10" t="n"/>
      <c r="AD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>
        <f>IF(T313="","",T313-TODAY())</f>
        <v/>
      </c>
      <c r="W313" s="10">
        <f>IF(T313="","",IF(T313&lt;TODAY(),"PAST EOS — UNSUPPORTED",IF(T313-TODAY()&lt;=365,"EOS within 12 months","Supported")))</f>
        <v/>
      </c>
      <c r="X313" s="10" t="n"/>
      <c r="Y313" s="10" t="n"/>
      <c r="Z313" s="10" t="n"/>
      <c r="AA313" s="10" t="n"/>
      <c r="AB313" s="10" t="n"/>
      <c r="AC313" s="10" t="n"/>
      <c r="AD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>
        <f>IF(T314="","",T314-TODAY())</f>
        <v/>
      </c>
      <c r="W314" s="10">
        <f>IF(T314="","",IF(T314&lt;TODAY(),"PAST EOS — UNSUPPORTED",IF(T314-TODAY()&lt;=365,"EOS within 12 months","Supported")))</f>
        <v/>
      </c>
      <c r="X314" s="10" t="n"/>
      <c r="Y314" s="10" t="n"/>
      <c r="Z314" s="10" t="n"/>
      <c r="AA314" s="10" t="n"/>
      <c r="AB314" s="10" t="n"/>
      <c r="AC314" s="10" t="n"/>
      <c r="AD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>
        <f>IF(T315="","",T315-TODAY())</f>
        <v/>
      </c>
      <c r="W315" s="10">
        <f>IF(T315="","",IF(T315&lt;TODAY(),"PAST EOS — UNSUPPORTED",IF(T315-TODAY()&lt;=365,"EOS within 12 months","Supported")))</f>
        <v/>
      </c>
      <c r="X315" s="10" t="n"/>
      <c r="Y315" s="10" t="n"/>
      <c r="Z315" s="10" t="n"/>
      <c r="AA315" s="10" t="n"/>
      <c r="AB315" s="10" t="n"/>
      <c r="AC315" s="10" t="n"/>
      <c r="AD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>
        <f>IF(T316="","",T316-TODAY())</f>
        <v/>
      </c>
      <c r="W316" s="10">
        <f>IF(T316="","",IF(T316&lt;TODAY(),"PAST EOS — UNSUPPORTED",IF(T316-TODAY()&lt;=365,"EOS within 12 months","Supported")))</f>
        <v/>
      </c>
      <c r="X316" s="10" t="n"/>
      <c r="Y316" s="10" t="n"/>
      <c r="Z316" s="10" t="n"/>
      <c r="AA316" s="10" t="n"/>
      <c r="AB316" s="10" t="n"/>
      <c r="AC316" s="10" t="n"/>
      <c r="AD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>
        <f>IF(T317="","",T317-TODAY())</f>
        <v/>
      </c>
      <c r="W317" s="10">
        <f>IF(T317="","",IF(T317&lt;TODAY(),"PAST EOS — UNSUPPORTED",IF(T317-TODAY()&lt;=365,"EOS within 12 months","Supported")))</f>
        <v/>
      </c>
      <c r="X317" s="10" t="n"/>
      <c r="Y317" s="10" t="n"/>
      <c r="Z317" s="10" t="n"/>
      <c r="AA317" s="10" t="n"/>
      <c r="AB317" s="10" t="n"/>
      <c r="AC317" s="10" t="n"/>
      <c r="AD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>
        <f>IF(T318="","",T318-TODAY())</f>
        <v/>
      </c>
      <c r="W318" s="10">
        <f>IF(T318="","",IF(T318&lt;TODAY(),"PAST EOS — UNSUPPORTED",IF(T318-TODAY()&lt;=365,"EOS within 12 months","Supported")))</f>
        <v/>
      </c>
      <c r="X318" s="10" t="n"/>
      <c r="Y318" s="10" t="n"/>
      <c r="Z318" s="10" t="n"/>
      <c r="AA318" s="10" t="n"/>
      <c r="AB318" s="10" t="n"/>
      <c r="AC318" s="10" t="n"/>
      <c r="AD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>
        <f>IF(T319="","",T319-TODAY())</f>
        <v/>
      </c>
      <c r="W319" s="10">
        <f>IF(T319="","",IF(T319&lt;TODAY(),"PAST EOS — UNSUPPORTED",IF(T319-TODAY()&lt;=365,"EOS within 12 months","Supported")))</f>
        <v/>
      </c>
      <c r="X319" s="10" t="n"/>
      <c r="Y319" s="10" t="n"/>
      <c r="Z319" s="10" t="n"/>
      <c r="AA319" s="10" t="n"/>
      <c r="AB319" s="10" t="n"/>
      <c r="AC319" s="10" t="n"/>
      <c r="AD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>
        <f>IF(T320="","",T320-TODAY())</f>
        <v/>
      </c>
      <c r="W320" s="10">
        <f>IF(T320="","",IF(T320&lt;TODAY(),"PAST EOS — UNSUPPORTED",IF(T320-TODAY()&lt;=365,"EOS within 12 months","Supported")))</f>
        <v/>
      </c>
      <c r="X320" s="10" t="n"/>
      <c r="Y320" s="10" t="n"/>
      <c r="Z320" s="10" t="n"/>
      <c r="AA320" s="10" t="n"/>
      <c r="AB320" s="10" t="n"/>
      <c r="AC320" s="10" t="n"/>
      <c r="AD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>
        <f>IF(T321="","",T321-TODAY())</f>
        <v/>
      </c>
      <c r="W321" s="10">
        <f>IF(T321="","",IF(T321&lt;TODAY(),"PAST EOS — UNSUPPORTED",IF(T321-TODAY()&lt;=365,"EOS within 12 months","Supported")))</f>
        <v/>
      </c>
      <c r="X321" s="10" t="n"/>
      <c r="Y321" s="10" t="n"/>
      <c r="Z321" s="10" t="n"/>
      <c r="AA321" s="10" t="n"/>
      <c r="AB321" s="10" t="n"/>
      <c r="AC321" s="10" t="n"/>
      <c r="AD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>
        <f>IF(T322="","",T322-TODAY())</f>
        <v/>
      </c>
      <c r="W322" s="10">
        <f>IF(T322="","",IF(T322&lt;TODAY(),"PAST EOS — UNSUPPORTED",IF(T322-TODAY()&lt;=365,"EOS within 12 months","Supported")))</f>
        <v/>
      </c>
      <c r="X322" s="10" t="n"/>
      <c r="Y322" s="10" t="n"/>
      <c r="Z322" s="10" t="n"/>
      <c r="AA322" s="10" t="n"/>
      <c r="AB322" s="10" t="n"/>
      <c r="AC322" s="10" t="n"/>
      <c r="AD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>
        <f>IF(T323="","",T323-TODAY())</f>
        <v/>
      </c>
      <c r="W323" s="10">
        <f>IF(T323="","",IF(T323&lt;TODAY(),"PAST EOS — UNSUPPORTED",IF(T323-TODAY()&lt;=365,"EOS within 12 months","Supported")))</f>
        <v/>
      </c>
      <c r="X323" s="10" t="n"/>
      <c r="Y323" s="10" t="n"/>
      <c r="Z323" s="10" t="n"/>
      <c r="AA323" s="10" t="n"/>
      <c r="AB323" s="10" t="n"/>
      <c r="AC323" s="10" t="n"/>
      <c r="AD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>
        <f>IF(T324="","",T324-TODAY())</f>
        <v/>
      </c>
      <c r="W324" s="10">
        <f>IF(T324="","",IF(T324&lt;TODAY(),"PAST EOS — UNSUPPORTED",IF(T324-TODAY()&lt;=365,"EOS within 12 months","Supported")))</f>
        <v/>
      </c>
      <c r="X324" s="10" t="n"/>
      <c r="Y324" s="10" t="n"/>
      <c r="Z324" s="10" t="n"/>
      <c r="AA324" s="10" t="n"/>
      <c r="AB324" s="10" t="n"/>
      <c r="AC324" s="10" t="n"/>
      <c r="AD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>
        <f>IF(T325="","",T325-TODAY())</f>
        <v/>
      </c>
      <c r="W325" s="10">
        <f>IF(T325="","",IF(T325&lt;TODAY(),"PAST EOS — UNSUPPORTED",IF(T325-TODAY()&lt;=365,"EOS within 12 months","Supported")))</f>
        <v/>
      </c>
      <c r="X325" s="10" t="n"/>
      <c r="Y325" s="10" t="n"/>
      <c r="Z325" s="10" t="n"/>
      <c r="AA325" s="10" t="n"/>
      <c r="AB325" s="10" t="n"/>
      <c r="AC325" s="10" t="n"/>
      <c r="AD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>
        <f>IF(T326="","",T326-TODAY())</f>
        <v/>
      </c>
      <c r="W326" s="10">
        <f>IF(T326="","",IF(T326&lt;TODAY(),"PAST EOS — UNSUPPORTED",IF(T326-TODAY()&lt;=365,"EOS within 12 months","Supported")))</f>
        <v/>
      </c>
      <c r="X326" s="10" t="n"/>
      <c r="Y326" s="10" t="n"/>
      <c r="Z326" s="10" t="n"/>
      <c r="AA326" s="10" t="n"/>
      <c r="AB326" s="10" t="n"/>
      <c r="AC326" s="10" t="n"/>
      <c r="AD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>
        <f>IF(T327="","",T327-TODAY())</f>
        <v/>
      </c>
      <c r="W327" s="10">
        <f>IF(T327="","",IF(T327&lt;TODAY(),"PAST EOS — UNSUPPORTED",IF(T327-TODAY()&lt;=365,"EOS within 12 months","Supported")))</f>
        <v/>
      </c>
      <c r="X327" s="10" t="n"/>
      <c r="Y327" s="10" t="n"/>
      <c r="Z327" s="10" t="n"/>
      <c r="AA327" s="10" t="n"/>
      <c r="AB327" s="10" t="n"/>
      <c r="AC327" s="10" t="n"/>
      <c r="AD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>
        <f>IF(T328="","",T328-TODAY())</f>
        <v/>
      </c>
      <c r="W328" s="10">
        <f>IF(T328="","",IF(T328&lt;TODAY(),"PAST EOS — UNSUPPORTED",IF(T328-TODAY()&lt;=365,"EOS within 12 months","Supported")))</f>
        <v/>
      </c>
      <c r="X328" s="10" t="n"/>
      <c r="Y328" s="10" t="n"/>
      <c r="Z328" s="10" t="n"/>
      <c r="AA328" s="10" t="n"/>
      <c r="AB328" s="10" t="n"/>
      <c r="AC328" s="10" t="n"/>
      <c r="AD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>
        <f>IF(T329="","",T329-TODAY())</f>
        <v/>
      </c>
      <c r="W329" s="10">
        <f>IF(T329="","",IF(T329&lt;TODAY(),"PAST EOS — UNSUPPORTED",IF(T329-TODAY()&lt;=365,"EOS within 12 months","Supported")))</f>
        <v/>
      </c>
      <c r="X329" s="10" t="n"/>
      <c r="Y329" s="10" t="n"/>
      <c r="Z329" s="10" t="n"/>
      <c r="AA329" s="10" t="n"/>
      <c r="AB329" s="10" t="n"/>
      <c r="AC329" s="10" t="n"/>
      <c r="AD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>
        <f>IF(T330="","",T330-TODAY())</f>
        <v/>
      </c>
      <c r="W330" s="10">
        <f>IF(T330="","",IF(T330&lt;TODAY(),"PAST EOS — UNSUPPORTED",IF(T330-TODAY()&lt;=365,"EOS within 12 months","Supported")))</f>
        <v/>
      </c>
      <c r="X330" s="10" t="n"/>
      <c r="Y330" s="10" t="n"/>
      <c r="Z330" s="10" t="n"/>
      <c r="AA330" s="10" t="n"/>
      <c r="AB330" s="10" t="n"/>
      <c r="AC330" s="10" t="n"/>
      <c r="AD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>
        <f>IF(T331="","",T331-TODAY())</f>
        <v/>
      </c>
      <c r="W331" s="10">
        <f>IF(T331="","",IF(T331&lt;TODAY(),"PAST EOS — UNSUPPORTED",IF(T331-TODAY()&lt;=365,"EOS within 12 months","Supported")))</f>
        <v/>
      </c>
      <c r="X331" s="10" t="n"/>
      <c r="Y331" s="10" t="n"/>
      <c r="Z331" s="10" t="n"/>
      <c r="AA331" s="10" t="n"/>
      <c r="AB331" s="10" t="n"/>
      <c r="AC331" s="10" t="n"/>
      <c r="AD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>
        <f>IF(T332="","",T332-TODAY())</f>
        <v/>
      </c>
      <c r="W332" s="10">
        <f>IF(T332="","",IF(T332&lt;TODAY(),"PAST EOS — UNSUPPORTED",IF(T332-TODAY()&lt;=365,"EOS within 12 months","Supported")))</f>
        <v/>
      </c>
      <c r="X332" s="10" t="n"/>
      <c r="Y332" s="10" t="n"/>
      <c r="Z332" s="10" t="n"/>
      <c r="AA332" s="10" t="n"/>
      <c r="AB332" s="10" t="n"/>
      <c r="AC332" s="10" t="n"/>
      <c r="AD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>
        <f>IF(T333="","",T333-TODAY())</f>
        <v/>
      </c>
      <c r="W333" s="10">
        <f>IF(T333="","",IF(T333&lt;TODAY(),"PAST EOS — UNSUPPORTED",IF(T333-TODAY()&lt;=365,"EOS within 12 months","Supported")))</f>
        <v/>
      </c>
      <c r="X333" s="10" t="n"/>
      <c r="Y333" s="10" t="n"/>
      <c r="Z333" s="10" t="n"/>
      <c r="AA333" s="10" t="n"/>
      <c r="AB333" s="10" t="n"/>
      <c r="AC333" s="10" t="n"/>
      <c r="AD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>
        <f>IF(T334="","",T334-TODAY())</f>
        <v/>
      </c>
      <c r="W334" s="10">
        <f>IF(T334="","",IF(T334&lt;TODAY(),"PAST EOS — UNSUPPORTED",IF(T334-TODAY()&lt;=365,"EOS within 12 months","Supported")))</f>
        <v/>
      </c>
      <c r="X334" s="10" t="n"/>
      <c r="Y334" s="10" t="n"/>
      <c r="Z334" s="10" t="n"/>
      <c r="AA334" s="10" t="n"/>
      <c r="AB334" s="10" t="n"/>
      <c r="AC334" s="10" t="n"/>
      <c r="AD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>
        <f>IF(T335="","",T335-TODAY())</f>
        <v/>
      </c>
      <c r="W335" s="10">
        <f>IF(T335="","",IF(T335&lt;TODAY(),"PAST EOS — UNSUPPORTED",IF(T335-TODAY()&lt;=365,"EOS within 12 months","Supported")))</f>
        <v/>
      </c>
      <c r="X335" s="10" t="n"/>
      <c r="Y335" s="10" t="n"/>
      <c r="Z335" s="10" t="n"/>
      <c r="AA335" s="10" t="n"/>
      <c r="AB335" s="10" t="n"/>
      <c r="AC335" s="10" t="n"/>
      <c r="AD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>
        <f>IF(T336="","",T336-TODAY())</f>
        <v/>
      </c>
      <c r="W336" s="10">
        <f>IF(T336="","",IF(T336&lt;TODAY(),"PAST EOS — UNSUPPORTED",IF(T336-TODAY()&lt;=365,"EOS within 12 months","Supported")))</f>
        <v/>
      </c>
      <c r="X336" s="10" t="n"/>
      <c r="Y336" s="10" t="n"/>
      <c r="Z336" s="10" t="n"/>
      <c r="AA336" s="10" t="n"/>
      <c r="AB336" s="10" t="n"/>
      <c r="AC336" s="10" t="n"/>
      <c r="AD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>
        <f>IF(T337="","",T337-TODAY())</f>
        <v/>
      </c>
      <c r="W337" s="10">
        <f>IF(T337="","",IF(T337&lt;TODAY(),"PAST EOS — UNSUPPORTED",IF(T337-TODAY()&lt;=365,"EOS within 12 months","Supported")))</f>
        <v/>
      </c>
      <c r="X337" s="10" t="n"/>
      <c r="Y337" s="10" t="n"/>
      <c r="Z337" s="10" t="n"/>
      <c r="AA337" s="10" t="n"/>
      <c r="AB337" s="10" t="n"/>
      <c r="AC337" s="10" t="n"/>
      <c r="AD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>
        <f>IF(T338="","",T338-TODAY())</f>
        <v/>
      </c>
      <c r="W338" s="10">
        <f>IF(T338="","",IF(T338&lt;TODAY(),"PAST EOS — UNSUPPORTED",IF(T338-TODAY()&lt;=365,"EOS within 12 months","Supported")))</f>
        <v/>
      </c>
      <c r="X338" s="10" t="n"/>
      <c r="Y338" s="10" t="n"/>
      <c r="Z338" s="10" t="n"/>
      <c r="AA338" s="10" t="n"/>
      <c r="AB338" s="10" t="n"/>
      <c r="AC338" s="10" t="n"/>
      <c r="AD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>
        <f>IF(T339="","",T339-TODAY())</f>
        <v/>
      </c>
      <c r="W339" s="10">
        <f>IF(T339="","",IF(T339&lt;TODAY(),"PAST EOS — UNSUPPORTED",IF(T339-TODAY()&lt;=365,"EOS within 12 months","Supported")))</f>
        <v/>
      </c>
      <c r="X339" s="10" t="n"/>
      <c r="Y339" s="10" t="n"/>
      <c r="Z339" s="10" t="n"/>
      <c r="AA339" s="10" t="n"/>
      <c r="AB339" s="10" t="n"/>
      <c r="AC339" s="10" t="n"/>
      <c r="AD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>
        <f>IF(T340="","",T340-TODAY())</f>
        <v/>
      </c>
      <c r="W340" s="10">
        <f>IF(T340="","",IF(T340&lt;TODAY(),"PAST EOS — UNSUPPORTED",IF(T340-TODAY()&lt;=365,"EOS within 12 months","Supported")))</f>
        <v/>
      </c>
      <c r="X340" s="10" t="n"/>
      <c r="Y340" s="10" t="n"/>
      <c r="Z340" s="10" t="n"/>
      <c r="AA340" s="10" t="n"/>
      <c r="AB340" s="10" t="n"/>
      <c r="AC340" s="10" t="n"/>
      <c r="AD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>
        <f>IF(T341="","",T341-TODAY())</f>
        <v/>
      </c>
      <c r="W341" s="10">
        <f>IF(T341="","",IF(T341&lt;TODAY(),"PAST EOS — UNSUPPORTED",IF(T341-TODAY()&lt;=365,"EOS within 12 months","Supported")))</f>
        <v/>
      </c>
      <c r="X341" s="10" t="n"/>
      <c r="Y341" s="10" t="n"/>
      <c r="Z341" s="10" t="n"/>
      <c r="AA341" s="10" t="n"/>
      <c r="AB341" s="10" t="n"/>
      <c r="AC341" s="10" t="n"/>
      <c r="AD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>
        <f>IF(T342="","",T342-TODAY())</f>
        <v/>
      </c>
      <c r="W342" s="10">
        <f>IF(T342="","",IF(T342&lt;TODAY(),"PAST EOS — UNSUPPORTED",IF(T342-TODAY()&lt;=365,"EOS within 12 months","Supported")))</f>
        <v/>
      </c>
      <c r="X342" s="10" t="n"/>
      <c r="Y342" s="10" t="n"/>
      <c r="Z342" s="10" t="n"/>
      <c r="AA342" s="10" t="n"/>
      <c r="AB342" s="10" t="n"/>
      <c r="AC342" s="10" t="n"/>
      <c r="AD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>
        <f>IF(T343="","",T343-TODAY())</f>
        <v/>
      </c>
      <c r="W343" s="10">
        <f>IF(T343="","",IF(T343&lt;TODAY(),"PAST EOS — UNSUPPORTED",IF(T343-TODAY()&lt;=365,"EOS within 12 months","Supported")))</f>
        <v/>
      </c>
      <c r="X343" s="10" t="n"/>
      <c r="Y343" s="10" t="n"/>
      <c r="Z343" s="10" t="n"/>
      <c r="AA343" s="10" t="n"/>
      <c r="AB343" s="10" t="n"/>
      <c r="AC343" s="10" t="n"/>
      <c r="AD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>
        <f>IF(T344="","",T344-TODAY())</f>
        <v/>
      </c>
      <c r="W344" s="10">
        <f>IF(T344="","",IF(T344&lt;TODAY(),"PAST EOS — UNSUPPORTED",IF(T344-TODAY()&lt;=365,"EOS within 12 months","Supported")))</f>
        <v/>
      </c>
      <c r="X344" s="10" t="n"/>
      <c r="Y344" s="10" t="n"/>
      <c r="Z344" s="10" t="n"/>
      <c r="AA344" s="10" t="n"/>
      <c r="AB344" s="10" t="n"/>
      <c r="AC344" s="10" t="n"/>
      <c r="AD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>
        <f>IF(T345="","",T345-TODAY())</f>
        <v/>
      </c>
      <c r="W345" s="10">
        <f>IF(T345="","",IF(T345&lt;TODAY(),"PAST EOS — UNSUPPORTED",IF(T345-TODAY()&lt;=365,"EOS within 12 months","Supported")))</f>
        <v/>
      </c>
      <c r="X345" s="10" t="n"/>
      <c r="Y345" s="10" t="n"/>
      <c r="Z345" s="10" t="n"/>
      <c r="AA345" s="10" t="n"/>
      <c r="AB345" s="10" t="n"/>
      <c r="AC345" s="10" t="n"/>
      <c r="AD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>
        <f>IF(T346="","",T346-TODAY())</f>
        <v/>
      </c>
      <c r="W346" s="10">
        <f>IF(T346="","",IF(T346&lt;TODAY(),"PAST EOS — UNSUPPORTED",IF(T346-TODAY()&lt;=365,"EOS within 12 months","Supported")))</f>
        <v/>
      </c>
      <c r="X346" s="10" t="n"/>
      <c r="Y346" s="10" t="n"/>
      <c r="Z346" s="10" t="n"/>
      <c r="AA346" s="10" t="n"/>
      <c r="AB346" s="10" t="n"/>
      <c r="AC346" s="10" t="n"/>
      <c r="AD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>
        <f>IF(T347="","",T347-TODAY())</f>
        <v/>
      </c>
      <c r="W347" s="10">
        <f>IF(T347="","",IF(T347&lt;TODAY(),"PAST EOS — UNSUPPORTED",IF(T347-TODAY()&lt;=365,"EOS within 12 months","Supported")))</f>
        <v/>
      </c>
      <c r="X347" s="10" t="n"/>
      <c r="Y347" s="10" t="n"/>
      <c r="Z347" s="10" t="n"/>
      <c r="AA347" s="10" t="n"/>
      <c r="AB347" s="10" t="n"/>
      <c r="AC347" s="10" t="n"/>
      <c r="AD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>
        <f>IF(T348="","",T348-TODAY())</f>
        <v/>
      </c>
      <c r="W348" s="10">
        <f>IF(T348="","",IF(T348&lt;TODAY(),"PAST EOS — UNSUPPORTED",IF(T348-TODAY()&lt;=365,"EOS within 12 months","Supported")))</f>
        <v/>
      </c>
      <c r="X348" s="10" t="n"/>
      <c r="Y348" s="10" t="n"/>
      <c r="Z348" s="10" t="n"/>
      <c r="AA348" s="10" t="n"/>
      <c r="AB348" s="10" t="n"/>
      <c r="AC348" s="10" t="n"/>
      <c r="AD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>
        <f>IF(T349="","",T349-TODAY())</f>
        <v/>
      </c>
      <c r="W349" s="10">
        <f>IF(T349="","",IF(T349&lt;TODAY(),"PAST EOS — UNSUPPORTED",IF(T349-TODAY()&lt;=365,"EOS within 12 months","Supported")))</f>
        <v/>
      </c>
      <c r="X349" s="10" t="n"/>
      <c r="Y349" s="10" t="n"/>
      <c r="Z349" s="10" t="n"/>
      <c r="AA349" s="10" t="n"/>
      <c r="AB349" s="10" t="n"/>
      <c r="AC349" s="10" t="n"/>
      <c r="AD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>
        <f>IF(T350="","",T350-TODAY())</f>
        <v/>
      </c>
      <c r="W350" s="10">
        <f>IF(T350="","",IF(T350&lt;TODAY(),"PAST EOS — UNSUPPORTED",IF(T350-TODAY()&lt;=365,"EOS within 12 months","Supported")))</f>
        <v/>
      </c>
      <c r="X350" s="10" t="n"/>
      <c r="Y350" s="10" t="n"/>
      <c r="Z350" s="10" t="n"/>
      <c r="AA350" s="10" t="n"/>
      <c r="AB350" s="10" t="n"/>
      <c r="AC350" s="10" t="n"/>
      <c r="AD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>
        <f>IF(T351="","",T351-TODAY())</f>
        <v/>
      </c>
      <c r="W351" s="10">
        <f>IF(T351="","",IF(T351&lt;TODAY(),"PAST EOS — UNSUPPORTED",IF(T351-TODAY()&lt;=365,"EOS within 12 months","Supported")))</f>
        <v/>
      </c>
      <c r="X351" s="10" t="n"/>
      <c r="Y351" s="10" t="n"/>
      <c r="Z351" s="10" t="n"/>
      <c r="AA351" s="10" t="n"/>
      <c r="AB351" s="10" t="n"/>
      <c r="AC351" s="10" t="n"/>
      <c r="AD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>
        <f>IF(T352="","",T352-TODAY())</f>
        <v/>
      </c>
      <c r="W352" s="10">
        <f>IF(T352="","",IF(T352&lt;TODAY(),"PAST EOS — UNSUPPORTED",IF(T352-TODAY()&lt;=365,"EOS within 12 months","Supported")))</f>
        <v/>
      </c>
      <c r="X352" s="10" t="n"/>
      <c r="Y352" s="10" t="n"/>
      <c r="Z352" s="10" t="n"/>
      <c r="AA352" s="10" t="n"/>
      <c r="AB352" s="10" t="n"/>
      <c r="AC352" s="10" t="n"/>
      <c r="AD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>
        <f>IF(T353="","",T353-TODAY())</f>
        <v/>
      </c>
      <c r="W353" s="10">
        <f>IF(T353="","",IF(T353&lt;TODAY(),"PAST EOS — UNSUPPORTED",IF(T353-TODAY()&lt;=365,"EOS within 12 months","Supported")))</f>
        <v/>
      </c>
      <c r="X353" s="10" t="n"/>
      <c r="Y353" s="10" t="n"/>
      <c r="Z353" s="10" t="n"/>
      <c r="AA353" s="10" t="n"/>
      <c r="AB353" s="10" t="n"/>
      <c r="AC353" s="10" t="n"/>
      <c r="AD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>
        <f>IF(T354="","",T354-TODAY())</f>
        <v/>
      </c>
      <c r="W354" s="10">
        <f>IF(T354="","",IF(T354&lt;TODAY(),"PAST EOS — UNSUPPORTED",IF(T354-TODAY()&lt;=365,"EOS within 12 months","Supported")))</f>
        <v/>
      </c>
      <c r="X354" s="10" t="n"/>
      <c r="Y354" s="10" t="n"/>
      <c r="Z354" s="10" t="n"/>
      <c r="AA354" s="10" t="n"/>
      <c r="AB354" s="10" t="n"/>
      <c r="AC354" s="10" t="n"/>
      <c r="AD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>
        <f>IF(T355="","",T355-TODAY())</f>
        <v/>
      </c>
      <c r="W355" s="10">
        <f>IF(T355="","",IF(T355&lt;TODAY(),"PAST EOS — UNSUPPORTED",IF(T355-TODAY()&lt;=365,"EOS within 12 months","Supported")))</f>
        <v/>
      </c>
      <c r="X355" s="10" t="n"/>
      <c r="Y355" s="10" t="n"/>
      <c r="Z355" s="10" t="n"/>
      <c r="AA355" s="10" t="n"/>
      <c r="AB355" s="10" t="n"/>
      <c r="AC355" s="10" t="n"/>
      <c r="AD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>
        <f>IF(T356="","",T356-TODAY())</f>
        <v/>
      </c>
      <c r="W356" s="10">
        <f>IF(T356="","",IF(T356&lt;TODAY(),"PAST EOS — UNSUPPORTED",IF(T356-TODAY()&lt;=365,"EOS within 12 months","Supported")))</f>
        <v/>
      </c>
      <c r="X356" s="10" t="n"/>
      <c r="Y356" s="10" t="n"/>
      <c r="Z356" s="10" t="n"/>
      <c r="AA356" s="10" t="n"/>
      <c r="AB356" s="10" t="n"/>
      <c r="AC356" s="10" t="n"/>
      <c r="AD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>
        <f>IF(T357="","",T357-TODAY())</f>
        <v/>
      </c>
      <c r="W357" s="10">
        <f>IF(T357="","",IF(T357&lt;TODAY(),"PAST EOS — UNSUPPORTED",IF(T357-TODAY()&lt;=365,"EOS within 12 months","Supported")))</f>
        <v/>
      </c>
      <c r="X357" s="10" t="n"/>
      <c r="Y357" s="10" t="n"/>
      <c r="Z357" s="10" t="n"/>
      <c r="AA357" s="10" t="n"/>
      <c r="AB357" s="10" t="n"/>
      <c r="AC357" s="10" t="n"/>
      <c r="AD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>
        <f>IF(T358="","",T358-TODAY())</f>
        <v/>
      </c>
      <c r="W358" s="10">
        <f>IF(T358="","",IF(T358&lt;TODAY(),"PAST EOS — UNSUPPORTED",IF(T358-TODAY()&lt;=365,"EOS within 12 months","Supported")))</f>
        <v/>
      </c>
      <c r="X358" s="10" t="n"/>
      <c r="Y358" s="10" t="n"/>
      <c r="Z358" s="10" t="n"/>
      <c r="AA358" s="10" t="n"/>
      <c r="AB358" s="10" t="n"/>
      <c r="AC358" s="10" t="n"/>
      <c r="AD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>
        <f>IF(T359="","",T359-TODAY())</f>
        <v/>
      </c>
      <c r="W359" s="10">
        <f>IF(T359="","",IF(T359&lt;TODAY(),"PAST EOS — UNSUPPORTED",IF(T359-TODAY()&lt;=365,"EOS within 12 months","Supported")))</f>
        <v/>
      </c>
      <c r="X359" s="10" t="n"/>
      <c r="Y359" s="10" t="n"/>
      <c r="Z359" s="10" t="n"/>
      <c r="AA359" s="10" t="n"/>
      <c r="AB359" s="10" t="n"/>
      <c r="AC359" s="10" t="n"/>
      <c r="AD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>
        <f>IF(T360="","",T360-TODAY())</f>
        <v/>
      </c>
      <c r="W360" s="10">
        <f>IF(T360="","",IF(T360&lt;TODAY(),"PAST EOS — UNSUPPORTED",IF(T360-TODAY()&lt;=365,"EOS within 12 months","Supported")))</f>
        <v/>
      </c>
      <c r="X360" s="10" t="n"/>
      <c r="Y360" s="10" t="n"/>
      <c r="Z360" s="10" t="n"/>
      <c r="AA360" s="10" t="n"/>
      <c r="AB360" s="10" t="n"/>
      <c r="AC360" s="10" t="n"/>
      <c r="AD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>
        <f>IF(T361="","",T361-TODAY())</f>
        <v/>
      </c>
      <c r="W361" s="10">
        <f>IF(T361="","",IF(T361&lt;TODAY(),"PAST EOS — UNSUPPORTED",IF(T361-TODAY()&lt;=365,"EOS within 12 months","Supported")))</f>
        <v/>
      </c>
      <c r="X361" s="10" t="n"/>
      <c r="Y361" s="10" t="n"/>
      <c r="Z361" s="10" t="n"/>
      <c r="AA361" s="10" t="n"/>
      <c r="AB361" s="10" t="n"/>
      <c r="AC361" s="10" t="n"/>
      <c r="AD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>
        <f>IF(T362="","",T362-TODAY())</f>
        <v/>
      </c>
      <c r="W362" s="10">
        <f>IF(T362="","",IF(T362&lt;TODAY(),"PAST EOS — UNSUPPORTED",IF(T362-TODAY()&lt;=365,"EOS within 12 months","Supported")))</f>
        <v/>
      </c>
      <c r="X362" s="10" t="n"/>
      <c r="Y362" s="10" t="n"/>
      <c r="Z362" s="10" t="n"/>
      <c r="AA362" s="10" t="n"/>
      <c r="AB362" s="10" t="n"/>
      <c r="AC362" s="10" t="n"/>
      <c r="AD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>
        <f>IF(T363="","",T363-TODAY())</f>
        <v/>
      </c>
      <c r="W363" s="10">
        <f>IF(T363="","",IF(T363&lt;TODAY(),"PAST EOS — UNSUPPORTED",IF(T363-TODAY()&lt;=365,"EOS within 12 months","Supported")))</f>
        <v/>
      </c>
      <c r="X363" s="10" t="n"/>
      <c r="Y363" s="10" t="n"/>
      <c r="Z363" s="10" t="n"/>
      <c r="AA363" s="10" t="n"/>
      <c r="AB363" s="10" t="n"/>
      <c r="AC363" s="10" t="n"/>
      <c r="AD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>
        <f>IF(T364="","",T364-TODAY())</f>
        <v/>
      </c>
      <c r="W364" s="10">
        <f>IF(T364="","",IF(T364&lt;TODAY(),"PAST EOS — UNSUPPORTED",IF(T364-TODAY()&lt;=365,"EOS within 12 months","Supported")))</f>
        <v/>
      </c>
      <c r="X364" s="10" t="n"/>
      <c r="Y364" s="10" t="n"/>
      <c r="Z364" s="10" t="n"/>
      <c r="AA364" s="10" t="n"/>
      <c r="AB364" s="10" t="n"/>
      <c r="AC364" s="10" t="n"/>
      <c r="AD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>
        <f>IF(T365="","",T365-TODAY())</f>
        <v/>
      </c>
      <c r="W365" s="10">
        <f>IF(T365="","",IF(T365&lt;TODAY(),"PAST EOS — UNSUPPORTED",IF(T365-TODAY()&lt;=365,"EOS within 12 months","Supported")))</f>
        <v/>
      </c>
      <c r="X365" s="10" t="n"/>
      <c r="Y365" s="10" t="n"/>
      <c r="Z365" s="10" t="n"/>
      <c r="AA365" s="10" t="n"/>
      <c r="AB365" s="10" t="n"/>
      <c r="AC365" s="10" t="n"/>
      <c r="AD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>
        <f>IF(T366="","",T366-TODAY())</f>
        <v/>
      </c>
      <c r="W366" s="10">
        <f>IF(T366="","",IF(T366&lt;TODAY(),"PAST EOS — UNSUPPORTED",IF(T366-TODAY()&lt;=365,"EOS within 12 months","Supported")))</f>
        <v/>
      </c>
      <c r="X366" s="10" t="n"/>
      <c r="Y366" s="10" t="n"/>
      <c r="Z366" s="10" t="n"/>
      <c r="AA366" s="10" t="n"/>
      <c r="AB366" s="10" t="n"/>
      <c r="AC366" s="10" t="n"/>
      <c r="AD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>
        <f>IF(T367="","",T367-TODAY())</f>
        <v/>
      </c>
      <c r="W367" s="10">
        <f>IF(T367="","",IF(T367&lt;TODAY(),"PAST EOS — UNSUPPORTED",IF(T367-TODAY()&lt;=365,"EOS within 12 months","Supported")))</f>
        <v/>
      </c>
      <c r="X367" s="10" t="n"/>
      <c r="Y367" s="10" t="n"/>
      <c r="Z367" s="10" t="n"/>
      <c r="AA367" s="10" t="n"/>
      <c r="AB367" s="10" t="n"/>
      <c r="AC367" s="10" t="n"/>
      <c r="AD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>
        <f>IF(T368="","",T368-TODAY())</f>
        <v/>
      </c>
      <c r="W368" s="10">
        <f>IF(T368="","",IF(T368&lt;TODAY(),"PAST EOS — UNSUPPORTED",IF(T368-TODAY()&lt;=365,"EOS within 12 months","Supported")))</f>
        <v/>
      </c>
      <c r="X368" s="10" t="n"/>
      <c r="Y368" s="10" t="n"/>
      <c r="Z368" s="10" t="n"/>
      <c r="AA368" s="10" t="n"/>
      <c r="AB368" s="10" t="n"/>
      <c r="AC368" s="10" t="n"/>
      <c r="AD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>
        <f>IF(T369="","",T369-TODAY())</f>
        <v/>
      </c>
      <c r="W369" s="10">
        <f>IF(T369="","",IF(T369&lt;TODAY(),"PAST EOS — UNSUPPORTED",IF(T369-TODAY()&lt;=365,"EOS within 12 months","Supported")))</f>
        <v/>
      </c>
      <c r="X369" s="10" t="n"/>
      <c r="Y369" s="10" t="n"/>
      <c r="Z369" s="10" t="n"/>
      <c r="AA369" s="10" t="n"/>
      <c r="AB369" s="10" t="n"/>
      <c r="AC369" s="10" t="n"/>
      <c r="AD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>
        <f>IF(T370="","",T370-TODAY())</f>
        <v/>
      </c>
      <c r="W370" s="10">
        <f>IF(T370="","",IF(T370&lt;TODAY(),"PAST EOS — UNSUPPORTED",IF(T370-TODAY()&lt;=365,"EOS within 12 months","Supported")))</f>
        <v/>
      </c>
      <c r="X370" s="10" t="n"/>
      <c r="Y370" s="10" t="n"/>
      <c r="Z370" s="10" t="n"/>
      <c r="AA370" s="10" t="n"/>
      <c r="AB370" s="10" t="n"/>
      <c r="AC370" s="10" t="n"/>
      <c r="AD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>
        <f>IF(T371="","",T371-TODAY())</f>
        <v/>
      </c>
      <c r="W371" s="10">
        <f>IF(T371="","",IF(T371&lt;TODAY(),"PAST EOS — UNSUPPORTED",IF(T371-TODAY()&lt;=365,"EOS within 12 months","Supported")))</f>
        <v/>
      </c>
      <c r="X371" s="10" t="n"/>
      <c r="Y371" s="10" t="n"/>
      <c r="Z371" s="10" t="n"/>
      <c r="AA371" s="10" t="n"/>
      <c r="AB371" s="10" t="n"/>
      <c r="AC371" s="10" t="n"/>
      <c r="AD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>
        <f>IF(T372="","",T372-TODAY())</f>
        <v/>
      </c>
      <c r="W372" s="10">
        <f>IF(T372="","",IF(T372&lt;TODAY(),"PAST EOS — UNSUPPORTED",IF(T372-TODAY()&lt;=365,"EOS within 12 months","Supported")))</f>
        <v/>
      </c>
      <c r="X372" s="10" t="n"/>
      <c r="Y372" s="10" t="n"/>
      <c r="Z372" s="10" t="n"/>
      <c r="AA372" s="10" t="n"/>
      <c r="AB372" s="10" t="n"/>
      <c r="AC372" s="10" t="n"/>
      <c r="AD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>
        <f>IF(T373="","",T373-TODAY())</f>
        <v/>
      </c>
      <c r="W373" s="10">
        <f>IF(T373="","",IF(T373&lt;TODAY(),"PAST EOS — UNSUPPORTED",IF(T373-TODAY()&lt;=365,"EOS within 12 months","Supported")))</f>
        <v/>
      </c>
      <c r="X373" s="10" t="n"/>
      <c r="Y373" s="10" t="n"/>
      <c r="Z373" s="10" t="n"/>
      <c r="AA373" s="10" t="n"/>
      <c r="AB373" s="10" t="n"/>
      <c r="AC373" s="10" t="n"/>
      <c r="AD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>
        <f>IF(T374="","",T374-TODAY())</f>
        <v/>
      </c>
      <c r="W374" s="10">
        <f>IF(T374="","",IF(T374&lt;TODAY(),"PAST EOS — UNSUPPORTED",IF(T374-TODAY()&lt;=365,"EOS within 12 months","Supported")))</f>
        <v/>
      </c>
      <c r="X374" s="10" t="n"/>
      <c r="Y374" s="10" t="n"/>
      <c r="Z374" s="10" t="n"/>
      <c r="AA374" s="10" t="n"/>
      <c r="AB374" s="10" t="n"/>
      <c r="AC374" s="10" t="n"/>
      <c r="AD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>
        <f>IF(T375="","",T375-TODAY())</f>
        <v/>
      </c>
      <c r="W375" s="10">
        <f>IF(T375="","",IF(T375&lt;TODAY(),"PAST EOS — UNSUPPORTED",IF(T375-TODAY()&lt;=365,"EOS within 12 months","Supported")))</f>
        <v/>
      </c>
      <c r="X375" s="10" t="n"/>
      <c r="Y375" s="10" t="n"/>
      <c r="Z375" s="10" t="n"/>
      <c r="AA375" s="10" t="n"/>
      <c r="AB375" s="10" t="n"/>
      <c r="AC375" s="10" t="n"/>
      <c r="AD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>
        <f>IF(T376="","",T376-TODAY())</f>
        <v/>
      </c>
      <c r="W376" s="10">
        <f>IF(T376="","",IF(T376&lt;TODAY(),"PAST EOS — UNSUPPORTED",IF(T376-TODAY()&lt;=365,"EOS within 12 months","Supported")))</f>
        <v/>
      </c>
      <c r="X376" s="10" t="n"/>
      <c r="Y376" s="10" t="n"/>
      <c r="Z376" s="10" t="n"/>
      <c r="AA376" s="10" t="n"/>
      <c r="AB376" s="10" t="n"/>
      <c r="AC376" s="10" t="n"/>
      <c r="AD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>
        <f>IF(T377="","",T377-TODAY())</f>
        <v/>
      </c>
      <c r="W377" s="10">
        <f>IF(T377="","",IF(T377&lt;TODAY(),"PAST EOS — UNSUPPORTED",IF(T377-TODAY()&lt;=365,"EOS within 12 months","Supported")))</f>
        <v/>
      </c>
      <c r="X377" s="10" t="n"/>
      <c r="Y377" s="10" t="n"/>
      <c r="Z377" s="10" t="n"/>
      <c r="AA377" s="10" t="n"/>
      <c r="AB377" s="10" t="n"/>
      <c r="AC377" s="10" t="n"/>
      <c r="AD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>
        <f>IF(T378="","",T378-TODAY())</f>
        <v/>
      </c>
      <c r="W378" s="10">
        <f>IF(T378="","",IF(T378&lt;TODAY(),"PAST EOS — UNSUPPORTED",IF(T378-TODAY()&lt;=365,"EOS within 12 months","Supported")))</f>
        <v/>
      </c>
      <c r="X378" s="10" t="n"/>
      <c r="Y378" s="10" t="n"/>
      <c r="Z378" s="10" t="n"/>
      <c r="AA378" s="10" t="n"/>
      <c r="AB378" s="10" t="n"/>
      <c r="AC378" s="10" t="n"/>
      <c r="AD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>
        <f>IF(T379="","",T379-TODAY())</f>
        <v/>
      </c>
      <c r="W379" s="10">
        <f>IF(T379="","",IF(T379&lt;TODAY(),"PAST EOS — UNSUPPORTED",IF(T379-TODAY()&lt;=365,"EOS within 12 months","Supported")))</f>
        <v/>
      </c>
      <c r="X379" s="10" t="n"/>
      <c r="Y379" s="10" t="n"/>
      <c r="Z379" s="10" t="n"/>
      <c r="AA379" s="10" t="n"/>
      <c r="AB379" s="10" t="n"/>
      <c r="AC379" s="10" t="n"/>
      <c r="AD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>
        <f>IF(T380="","",T380-TODAY())</f>
        <v/>
      </c>
      <c r="W380" s="10">
        <f>IF(T380="","",IF(T380&lt;TODAY(),"PAST EOS — UNSUPPORTED",IF(T380-TODAY()&lt;=365,"EOS within 12 months","Supported")))</f>
        <v/>
      </c>
      <c r="X380" s="10" t="n"/>
      <c r="Y380" s="10" t="n"/>
      <c r="Z380" s="10" t="n"/>
      <c r="AA380" s="10" t="n"/>
      <c r="AB380" s="10" t="n"/>
      <c r="AC380" s="10" t="n"/>
      <c r="AD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>
        <f>IF(T381="","",T381-TODAY())</f>
        <v/>
      </c>
      <c r="W381" s="10">
        <f>IF(T381="","",IF(T381&lt;TODAY(),"PAST EOS — UNSUPPORTED",IF(T381-TODAY()&lt;=365,"EOS within 12 months","Supported")))</f>
        <v/>
      </c>
      <c r="X381" s="10" t="n"/>
      <c r="Y381" s="10" t="n"/>
      <c r="Z381" s="10" t="n"/>
      <c r="AA381" s="10" t="n"/>
      <c r="AB381" s="10" t="n"/>
      <c r="AC381" s="10" t="n"/>
      <c r="AD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>
        <f>IF(T382="","",T382-TODAY())</f>
        <v/>
      </c>
      <c r="W382" s="10">
        <f>IF(T382="","",IF(T382&lt;TODAY(),"PAST EOS — UNSUPPORTED",IF(T382-TODAY()&lt;=365,"EOS within 12 months","Supported")))</f>
        <v/>
      </c>
      <c r="X382" s="10" t="n"/>
      <c r="Y382" s="10" t="n"/>
      <c r="Z382" s="10" t="n"/>
      <c r="AA382" s="10" t="n"/>
      <c r="AB382" s="10" t="n"/>
      <c r="AC382" s="10" t="n"/>
      <c r="AD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>
        <f>IF(T383="","",T383-TODAY())</f>
        <v/>
      </c>
      <c r="W383" s="10">
        <f>IF(T383="","",IF(T383&lt;TODAY(),"PAST EOS — UNSUPPORTED",IF(T383-TODAY()&lt;=365,"EOS within 12 months","Supported")))</f>
        <v/>
      </c>
      <c r="X383" s="10" t="n"/>
      <c r="Y383" s="10" t="n"/>
      <c r="Z383" s="10" t="n"/>
      <c r="AA383" s="10" t="n"/>
      <c r="AB383" s="10" t="n"/>
      <c r="AC383" s="10" t="n"/>
      <c r="AD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>
        <f>IF(T384="","",T384-TODAY())</f>
        <v/>
      </c>
      <c r="W384" s="10">
        <f>IF(T384="","",IF(T384&lt;TODAY(),"PAST EOS — UNSUPPORTED",IF(T384-TODAY()&lt;=365,"EOS within 12 months","Supported")))</f>
        <v/>
      </c>
      <c r="X384" s="10" t="n"/>
      <c r="Y384" s="10" t="n"/>
      <c r="Z384" s="10" t="n"/>
      <c r="AA384" s="10" t="n"/>
      <c r="AB384" s="10" t="n"/>
      <c r="AC384" s="10" t="n"/>
      <c r="AD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>
        <f>IF(T385="","",T385-TODAY())</f>
        <v/>
      </c>
      <c r="W385" s="10">
        <f>IF(T385="","",IF(T385&lt;TODAY(),"PAST EOS — UNSUPPORTED",IF(T385-TODAY()&lt;=365,"EOS within 12 months","Supported")))</f>
        <v/>
      </c>
      <c r="X385" s="10" t="n"/>
      <c r="Y385" s="10" t="n"/>
      <c r="Z385" s="10" t="n"/>
      <c r="AA385" s="10" t="n"/>
      <c r="AB385" s="10" t="n"/>
      <c r="AC385" s="10" t="n"/>
      <c r="AD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>
        <f>IF(T386="","",T386-TODAY())</f>
        <v/>
      </c>
      <c r="W386" s="10">
        <f>IF(T386="","",IF(T386&lt;TODAY(),"PAST EOS — UNSUPPORTED",IF(T386-TODAY()&lt;=365,"EOS within 12 months","Supported")))</f>
        <v/>
      </c>
      <c r="X386" s="10" t="n"/>
      <c r="Y386" s="10" t="n"/>
      <c r="Z386" s="10" t="n"/>
      <c r="AA386" s="10" t="n"/>
      <c r="AB386" s="10" t="n"/>
      <c r="AC386" s="10" t="n"/>
      <c r="AD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>
        <f>IF(T387="","",T387-TODAY())</f>
        <v/>
      </c>
      <c r="W387" s="10">
        <f>IF(T387="","",IF(T387&lt;TODAY(),"PAST EOS — UNSUPPORTED",IF(T387-TODAY()&lt;=365,"EOS within 12 months","Supported")))</f>
        <v/>
      </c>
      <c r="X387" s="10" t="n"/>
      <c r="Y387" s="10" t="n"/>
      <c r="Z387" s="10" t="n"/>
      <c r="AA387" s="10" t="n"/>
      <c r="AB387" s="10" t="n"/>
      <c r="AC387" s="10" t="n"/>
      <c r="AD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>
        <f>IF(T388="","",T388-TODAY())</f>
        <v/>
      </c>
      <c r="W388" s="10">
        <f>IF(T388="","",IF(T388&lt;TODAY(),"PAST EOS — UNSUPPORTED",IF(T388-TODAY()&lt;=365,"EOS within 12 months","Supported")))</f>
        <v/>
      </c>
      <c r="X388" s="10" t="n"/>
      <c r="Y388" s="10" t="n"/>
      <c r="Z388" s="10" t="n"/>
      <c r="AA388" s="10" t="n"/>
      <c r="AB388" s="10" t="n"/>
      <c r="AC388" s="10" t="n"/>
      <c r="AD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>
        <f>IF(T389="","",T389-TODAY())</f>
        <v/>
      </c>
      <c r="W389" s="10">
        <f>IF(T389="","",IF(T389&lt;TODAY(),"PAST EOS — UNSUPPORTED",IF(T389-TODAY()&lt;=365,"EOS within 12 months","Supported")))</f>
        <v/>
      </c>
      <c r="X389" s="10" t="n"/>
      <c r="Y389" s="10" t="n"/>
      <c r="Z389" s="10" t="n"/>
      <c r="AA389" s="10" t="n"/>
      <c r="AB389" s="10" t="n"/>
      <c r="AC389" s="10" t="n"/>
      <c r="AD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>
        <f>IF(T390="","",T390-TODAY())</f>
        <v/>
      </c>
      <c r="W390" s="10">
        <f>IF(T390="","",IF(T390&lt;TODAY(),"PAST EOS — UNSUPPORTED",IF(T390-TODAY()&lt;=365,"EOS within 12 months","Supported")))</f>
        <v/>
      </c>
      <c r="X390" s="10" t="n"/>
      <c r="Y390" s="10" t="n"/>
      <c r="Z390" s="10" t="n"/>
      <c r="AA390" s="10" t="n"/>
      <c r="AB390" s="10" t="n"/>
      <c r="AC390" s="10" t="n"/>
      <c r="AD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>
        <f>IF(T391="","",T391-TODAY())</f>
        <v/>
      </c>
      <c r="W391" s="10">
        <f>IF(T391="","",IF(T391&lt;TODAY(),"PAST EOS — UNSUPPORTED",IF(T391-TODAY()&lt;=365,"EOS within 12 months","Supported")))</f>
        <v/>
      </c>
      <c r="X391" s="10" t="n"/>
      <c r="Y391" s="10" t="n"/>
      <c r="Z391" s="10" t="n"/>
      <c r="AA391" s="10" t="n"/>
      <c r="AB391" s="10" t="n"/>
      <c r="AC391" s="10" t="n"/>
      <c r="AD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>
        <f>IF(T392="","",T392-TODAY())</f>
        <v/>
      </c>
      <c r="W392" s="10">
        <f>IF(T392="","",IF(T392&lt;TODAY(),"PAST EOS — UNSUPPORTED",IF(T392-TODAY()&lt;=365,"EOS within 12 months","Supported")))</f>
        <v/>
      </c>
      <c r="X392" s="10" t="n"/>
      <c r="Y392" s="10" t="n"/>
      <c r="Z392" s="10" t="n"/>
      <c r="AA392" s="10" t="n"/>
      <c r="AB392" s="10" t="n"/>
      <c r="AC392" s="10" t="n"/>
      <c r="AD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>
        <f>IF(T393="","",T393-TODAY())</f>
        <v/>
      </c>
      <c r="W393" s="10">
        <f>IF(T393="","",IF(T393&lt;TODAY(),"PAST EOS — UNSUPPORTED",IF(T393-TODAY()&lt;=365,"EOS within 12 months","Supported")))</f>
        <v/>
      </c>
      <c r="X393" s="10" t="n"/>
      <c r="Y393" s="10" t="n"/>
      <c r="Z393" s="10" t="n"/>
      <c r="AA393" s="10" t="n"/>
      <c r="AB393" s="10" t="n"/>
      <c r="AC393" s="10" t="n"/>
      <c r="AD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>
        <f>IF(T394="","",T394-TODAY())</f>
        <v/>
      </c>
      <c r="W394" s="10">
        <f>IF(T394="","",IF(T394&lt;TODAY(),"PAST EOS — UNSUPPORTED",IF(T394-TODAY()&lt;=365,"EOS within 12 months","Supported")))</f>
        <v/>
      </c>
      <c r="X394" s="10" t="n"/>
      <c r="Y394" s="10" t="n"/>
      <c r="Z394" s="10" t="n"/>
      <c r="AA394" s="10" t="n"/>
      <c r="AB394" s="10" t="n"/>
      <c r="AC394" s="10" t="n"/>
      <c r="AD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>
        <f>IF(T395="","",T395-TODAY())</f>
        <v/>
      </c>
      <c r="W395" s="10">
        <f>IF(T395="","",IF(T395&lt;TODAY(),"PAST EOS — UNSUPPORTED",IF(T395-TODAY()&lt;=365,"EOS within 12 months","Supported")))</f>
        <v/>
      </c>
      <c r="X395" s="10" t="n"/>
      <c r="Y395" s="10" t="n"/>
      <c r="Z395" s="10" t="n"/>
      <c r="AA395" s="10" t="n"/>
      <c r="AB395" s="10" t="n"/>
      <c r="AC395" s="10" t="n"/>
      <c r="AD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>
        <f>IF(T396="","",T396-TODAY())</f>
        <v/>
      </c>
      <c r="W396" s="10">
        <f>IF(T396="","",IF(T396&lt;TODAY(),"PAST EOS — UNSUPPORTED",IF(T396-TODAY()&lt;=365,"EOS within 12 months","Supported")))</f>
        <v/>
      </c>
      <c r="X396" s="10" t="n"/>
      <c r="Y396" s="10" t="n"/>
      <c r="Z396" s="10" t="n"/>
      <c r="AA396" s="10" t="n"/>
      <c r="AB396" s="10" t="n"/>
      <c r="AC396" s="10" t="n"/>
      <c r="AD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>
        <f>IF(T397="","",T397-TODAY())</f>
        <v/>
      </c>
      <c r="W397" s="10">
        <f>IF(T397="","",IF(T397&lt;TODAY(),"PAST EOS — UNSUPPORTED",IF(T397-TODAY()&lt;=365,"EOS within 12 months","Supported")))</f>
        <v/>
      </c>
      <c r="X397" s="10" t="n"/>
      <c r="Y397" s="10" t="n"/>
      <c r="Z397" s="10" t="n"/>
      <c r="AA397" s="10" t="n"/>
      <c r="AB397" s="10" t="n"/>
      <c r="AC397" s="10" t="n"/>
      <c r="AD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>
        <f>IF(T398="","",T398-TODAY())</f>
        <v/>
      </c>
      <c r="W398" s="10">
        <f>IF(T398="","",IF(T398&lt;TODAY(),"PAST EOS — UNSUPPORTED",IF(T398-TODAY()&lt;=365,"EOS within 12 months","Supported")))</f>
        <v/>
      </c>
      <c r="X398" s="10" t="n"/>
      <c r="Y398" s="10" t="n"/>
      <c r="Z398" s="10" t="n"/>
      <c r="AA398" s="10" t="n"/>
      <c r="AB398" s="10" t="n"/>
      <c r="AC398" s="10" t="n"/>
      <c r="AD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>
        <f>IF(T399="","",T399-TODAY())</f>
        <v/>
      </c>
      <c r="W399" s="10">
        <f>IF(T399="","",IF(T399&lt;TODAY(),"PAST EOS — UNSUPPORTED",IF(T399-TODAY()&lt;=365,"EOS within 12 months","Supported")))</f>
        <v/>
      </c>
      <c r="X399" s="10" t="n"/>
      <c r="Y399" s="10" t="n"/>
      <c r="Z399" s="10" t="n"/>
      <c r="AA399" s="10" t="n"/>
      <c r="AB399" s="10" t="n"/>
      <c r="AC399" s="10" t="n"/>
      <c r="AD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>
        <f>IF(T400="","",T400-TODAY())</f>
        <v/>
      </c>
      <c r="W400" s="10">
        <f>IF(T400="","",IF(T400&lt;TODAY(),"PAST EOS — UNSUPPORTED",IF(T400-TODAY()&lt;=365,"EOS within 12 months","Supported")))</f>
        <v/>
      </c>
      <c r="X400" s="10" t="n"/>
      <c r="Y400" s="10" t="n"/>
      <c r="Z400" s="10" t="n"/>
      <c r="AA400" s="10" t="n"/>
      <c r="AB400" s="10" t="n"/>
      <c r="AC400" s="10" t="n"/>
      <c r="AD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>
        <f>IF(T401="","",T401-TODAY())</f>
        <v/>
      </c>
      <c r="W401" s="10">
        <f>IF(T401="","",IF(T401&lt;TODAY(),"PAST EOS — UNSUPPORTED",IF(T401-TODAY()&lt;=365,"EOS within 12 months","Supported")))</f>
        <v/>
      </c>
      <c r="X401" s="10" t="n"/>
      <c r="Y401" s="10" t="n"/>
      <c r="Z401" s="10" t="n"/>
      <c r="AA401" s="10" t="n"/>
      <c r="AB401" s="10" t="n"/>
      <c r="AC401" s="10" t="n"/>
      <c r="AD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>
        <f>IF(T402="","",T402-TODAY())</f>
        <v/>
      </c>
      <c r="W402" s="10">
        <f>IF(T402="","",IF(T402&lt;TODAY(),"PAST EOS — UNSUPPORTED",IF(T402-TODAY()&lt;=365,"EOS within 12 months","Supported")))</f>
        <v/>
      </c>
      <c r="X402" s="10" t="n"/>
      <c r="Y402" s="10" t="n"/>
      <c r="Z402" s="10" t="n"/>
      <c r="AA402" s="10" t="n"/>
      <c r="AB402" s="10" t="n"/>
      <c r="AC402" s="10" t="n"/>
      <c r="AD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>
        <f>IF(T403="","",T403-TODAY())</f>
        <v/>
      </c>
      <c r="W403" s="10">
        <f>IF(T403="","",IF(T403&lt;TODAY(),"PAST EOS — UNSUPPORTED",IF(T403-TODAY()&lt;=365,"EOS within 12 months","Supported")))</f>
        <v/>
      </c>
      <c r="X403" s="10" t="n"/>
      <c r="Y403" s="10" t="n"/>
      <c r="Z403" s="10" t="n"/>
      <c r="AA403" s="10" t="n"/>
      <c r="AB403" s="10" t="n"/>
      <c r="AC403" s="10" t="n"/>
      <c r="AD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>
        <f>IF(T404="","",T404-TODAY())</f>
        <v/>
      </c>
      <c r="W404" s="10">
        <f>IF(T404="","",IF(T404&lt;TODAY(),"PAST EOS — UNSUPPORTED",IF(T404-TODAY()&lt;=365,"EOS within 12 months","Supported")))</f>
        <v/>
      </c>
      <c r="X404" s="10" t="n"/>
      <c r="Y404" s="10" t="n"/>
      <c r="Z404" s="10" t="n"/>
      <c r="AA404" s="10" t="n"/>
      <c r="AB404" s="10" t="n"/>
      <c r="AC404" s="10" t="n"/>
      <c r="AD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>
        <f>IF(T405="","",T405-TODAY())</f>
        <v/>
      </c>
      <c r="W405" s="10">
        <f>IF(T405="","",IF(T405&lt;TODAY(),"PAST EOS — UNSUPPORTED",IF(T405-TODAY()&lt;=365,"EOS within 12 months","Supported")))</f>
        <v/>
      </c>
      <c r="X405" s="10" t="n"/>
      <c r="Y405" s="10" t="n"/>
      <c r="Z405" s="10" t="n"/>
      <c r="AA405" s="10" t="n"/>
      <c r="AB405" s="10" t="n"/>
      <c r="AC405" s="10" t="n"/>
      <c r="AD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>
        <f>IF(T406="","",T406-TODAY())</f>
        <v/>
      </c>
      <c r="W406" s="10">
        <f>IF(T406="","",IF(T406&lt;TODAY(),"PAST EOS — UNSUPPORTED",IF(T406-TODAY()&lt;=365,"EOS within 12 months","Supported")))</f>
        <v/>
      </c>
      <c r="X406" s="10" t="n"/>
      <c r="Y406" s="10" t="n"/>
      <c r="Z406" s="10" t="n"/>
      <c r="AA406" s="10" t="n"/>
      <c r="AB406" s="10" t="n"/>
      <c r="AC406" s="10" t="n"/>
      <c r="AD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>
        <f>IF(T407="","",T407-TODAY())</f>
        <v/>
      </c>
      <c r="W407" s="10">
        <f>IF(T407="","",IF(T407&lt;TODAY(),"PAST EOS — UNSUPPORTED",IF(T407-TODAY()&lt;=365,"EOS within 12 months","Supported")))</f>
        <v/>
      </c>
      <c r="X407" s="10" t="n"/>
      <c r="Y407" s="10" t="n"/>
      <c r="Z407" s="10" t="n"/>
      <c r="AA407" s="10" t="n"/>
      <c r="AB407" s="10" t="n"/>
      <c r="AC407" s="10" t="n"/>
      <c r="AD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>
        <f>IF(T408="","",T408-TODAY())</f>
        <v/>
      </c>
      <c r="W408" s="10">
        <f>IF(T408="","",IF(T408&lt;TODAY(),"PAST EOS — UNSUPPORTED",IF(T408-TODAY()&lt;=365,"EOS within 12 months","Supported")))</f>
        <v/>
      </c>
      <c r="X408" s="10" t="n"/>
      <c r="Y408" s="10" t="n"/>
      <c r="Z408" s="10" t="n"/>
      <c r="AA408" s="10" t="n"/>
      <c r="AB408" s="10" t="n"/>
      <c r="AC408" s="10" t="n"/>
      <c r="AD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>
        <f>IF(T409="","",T409-TODAY())</f>
        <v/>
      </c>
      <c r="W409" s="10">
        <f>IF(T409="","",IF(T409&lt;TODAY(),"PAST EOS — UNSUPPORTED",IF(T409-TODAY()&lt;=365,"EOS within 12 months","Supported")))</f>
        <v/>
      </c>
      <c r="X409" s="10" t="n"/>
      <c r="Y409" s="10" t="n"/>
      <c r="Z409" s="10" t="n"/>
      <c r="AA409" s="10" t="n"/>
      <c r="AB409" s="10" t="n"/>
      <c r="AC409" s="10" t="n"/>
      <c r="AD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>
        <f>IF(T410="","",T410-TODAY())</f>
        <v/>
      </c>
      <c r="W410" s="10">
        <f>IF(T410="","",IF(T410&lt;TODAY(),"PAST EOS — UNSUPPORTED",IF(T410-TODAY()&lt;=365,"EOS within 12 months","Supported")))</f>
        <v/>
      </c>
      <c r="X410" s="10" t="n"/>
      <c r="Y410" s="10" t="n"/>
      <c r="Z410" s="10" t="n"/>
      <c r="AA410" s="10" t="n"/>
      <c r="AB410" s="10" t="n"/>
      <c r="AC410" s="10" t="n"/>
      <c r="AD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>
        <f>IF(T411="","",T411-TODAY())</f>
        <v/>
      </c>
      <c r="W411" s="10">
        <f>IF(T411="","",IF(T411&lt;TODAY(),"PAST EOS — UNSUPPORTED",IF(T411-TODAY()&lt;=365,"EOS within 12 months","Supported")))</f>
        <v/>
      </c>
      <c r="X411" s="10" t="n"/>
      <c r="Y411" s="10" t="n"/>
      <c r="Z411" s="10" t="n"/>
      <c r="AA411" s="10" t="n"/>
      <c r="AB411" s="10" t="n"/>
      <c r="AC411" s="10" t="n"/>
      <c r="AD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>
        <f>IF(T412="","",T412-TODAY())</f>
        <v/>
      </c>
      <c r="W412" s="10">
        <f>IF(T412="","",IF(T412&lt;TODAY(),"PAST EOS — UNSUPPORTED",IF(T412-TODAY()&lt;=365,"EOS within 12 months","Supported")))</f>
        <v/>
      </c>
      <c r="X412" s="10" t="n"/>
      <c r="Y412" s="10" t="n"/>
      <c r="Z412" s="10" t="n"/>
      <c r="AA412" s="10" t="n"/>
      <c r="AB412" s="10" t="n"/>
      <c r="AC412" s="10" t="n"/>
      <c r="AD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>
        <f>IF(T413="","",T413-TODAY())</f>
        <v/>
      </c>
      <c r="W413" s="10">
        <f>IF(T413="","",IF(T413&lt;TODAY(),"PAST EOS — UNSUPPORTED",IF(T413-TODAY()&lt;=365,"EOS within 12 months","Supported")))</f>
        <v/>
      </c>
      <c r="X413" s="10" t="n"/>
      <c r="Y413" s="10" t="n"/>
      <c r="Z413" s="10" t="n"/>
      <c r="AA413" s="10" t="n"/>
      <c r="AB413" s="10" t="n"/>
      <c r="AC413" s="10" t="n"/>
      <c r="AD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>
        <f>IF(T414="","",T414-TODAY())</f>
        <v/>
      </c>
      <c r="W414" s="10">
        <f>IF(T414="","",IF(T414&lt;TODAY(),"PAST EOS — UNSUPPORTED",IF(T414-TODAY()&lt;=365,"EOS within 12 months","Supported")))</f>
        <v/>
      </c>
      <c r="X414" s="10" t="n"/>
      <c r="Y414" s="10" t="n"/>
      <c r="Z414" s="10" t="n"/>
      <c r="AA414" s="10" t="n"/>
      <c r="AB414" s="10" t="n"/>
      <c r="AC414" s="10" t="n"/>
      <c r="AD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>
        <f>IF(T415="","",T415-TODAY())</f>
        <v/>
      </c>
      <c r="W415" s="10">
        <f>IF(T415="","",IF(T415&lt;TODAY(),"PAST EOS — UNSUPPORTED",IF(T415-TODAY()&lt;=365,"EOS within 12 months","Supported")))</f>
        <v/>
      </c>
      <c r="X415" s="10" t="n"/>
      <c r="Y415" s="10" t="n"/>
      <c r="Z415" s="10" t="n"/>
      <c r="AA415" s="10" t="n"/>
      <c r="AB415" s="10" t="n"/>
      <c r="AC415" s="10" t="n"/>
      <c r="AD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>
        <f>IF(T416="","",T416-TODAY())</f>
        <v/>
      </c>
      <c r="W416" s="10">
        <f>IF(T416="","",IF(T416&lt;TODAY(),"PAST EOS — UNSUPPORTED",IF(T416-TODAY()&lt;=365,"EOS within 12 months","Supported")))</f>
        <v/>
      </c>
      <c r="X416" s="10" t="n"/>
      <c r="Y416" s="10" t="n"/>
      <c r="Z416" s="10" t="n"/>
      <c r="AA416" s="10" t="n"/>
      <c r="AB416" s="10" t="n"/>
      <c r="AC416" s="10" t="n"/>
      <c r="AD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>
        <f>IF(T417="","",T417-TODAY())</f>
        <v/>
      </c>
      <c r="W417" s="10">
        <f>IF(T417="","",IF(T417&lt;TODAY(),"PAST EOS — UNSUPPORTED",IF(T417-TODAY()&lt;=365,"EOS within 12 months","Supported")))</f>
        <v/>
      </c>
      <c r="X417" s="10" t="n"/>
      <c r="Y417" s="10" t="n"/>
      <c r="Z417" s="10" t="n"/>
      <c r="AA417" s="10" t="n"/>
      <c r="AB417" s="10" t="n"/>
      <c r="AC417" s="10" t="n"/>
      <c r="AD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>
        <f>IF(T418="","",T418-TODAY())</f>
        <v/>
      </c>
      <c r="W418" s="10">
        <f>IF(T418="","",IF(T418&lt;TODAY(),"PAST EOS — UNSUPPORTED",IF(T418-TODAY()&lt;=365,"EOS within 12 months","Supported")))</f>
        <v/>
      </c>
      <c r="X418" s="10" t="n"/>
      <c r="Y418" s="10" t="n"/>
      <c r="Z418" s="10" t="n"/>
      <c r="AA418" s="10" t="n"/>
      <c r="AB418" s="10" t="n"/>
      <c r="AC418" s="10" t="n"/>
      <c r="AD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>
        <f>IF(T419="","",T419-TODAY())</f>
        <v/>
      </c>
      <c r="W419" s="10">
        <f>IF(T419="","",IF(T419&lt;TODAY(),"PAST EOS — UNSUPPORTED",IF(T419-TODAY()&lt;=365,"EOS within 12 months","Supported")))</f>
        <v/>
      </c>
      <c r="X419" s="10" t="n"/>
      <c r="Y419" s="10" t="n"/>
      <c r="Z419" s="10" t="n"/>
      <c r="AA419" s="10" t="n"/>
      <c r="AB419" s="10" t="n"/>
      <c r="AC419" s="10" t="n"/>
      <c r="AD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>
        <f>IF(T420="","",T420-TODAY())</f>
        <v/>
      </c>
      <c r="W420" s="10">
        <f>IF(T420="","",IF(T420&lt;TODAY(),"PAST EOS — UNSUPPORTED",IF(T420-TODAY()&lt;=365,"EOS within 12 months","Supported")))</f>
        <v/>
      </c>
      <c r="X420" s="10" t="n"/>
      <c r="Y420" s="10" t="n"/>
      <c r="Z420" s="10" t="n"/>
      <c r="AA420" s="10" t="n"/>
      <c r="AB420" s="10" t="n"/>
      <c r="AC420" s="10" t="n"/>
      <c r="AD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>
        <f>IF(T421="","",T421-TODAY())</f>
        <v/>
      </c>
      <c r="W421" s="10">
        <f>IF(T421="","",IF(T421&lt;TODAY(),"PAST EOS — UNSUPPORTED",IF(T421-TODAY()&lt;=365,"EOS within 12 months","Supported")))</f>
        <v/>
      </c>
      <c r="X421" s="10" t="n"/>
      <c r="Y421" s="10" t="n"/>
      <c r="Z421" s="10" t="n"/>
      <c r="AA421" s="10" t="n"/>
      <c r="AB421" s="10" t="n"/>
      <c r="AC421" s="10" t="n"/>
      <c r="AD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>
        <f>IF(T422="","",T422-TODAY())</f>
        <v/>
      </c>
      <c r="W422" s="10">
        <f>IF(T422="","",IF(T422&lt;TODAY(),"PAST EOS — UNSUPPORTED",IF(T422-TODAY()&lt;=365,"EOS within 12 months","Supported")))</f>
        <v/>
      </c>
      <c r="X422" s="10" t="n"/>
      <c r="Y422" s="10" t="n"/>
      <c r="Z422" s="10" t="n"/>
      <c r="AA422" s="10" t="n"/>
      <c r="AB422" s="10" t="n"/>
      <c r="AC422" s="10" t="n"/>
      <c r="AD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>
        <f>IF(T423="","",T423-TODAY())</f>
        <v/>
      </c>
      <c r="W423" s="10">
        <f>IF(T423="","",IF(T423&lt;TODAY(),"PAST EOS — UNSUPPORTED",IF(T423-TODAY()&lt;=365,"EOS within 12 months","Supported")))</f>
        <v/>
      </c>
      <c r="X423" s="10" t="n"/>
      <c r="Y423" s="10" t="n"/>
      <c r="Z423" s="10" t="n"/>
      <c r="AA423" s="10" t="n"/>
      <c r="AB423" s="10" t="n"/>
      <c r="AC423" s="10" t="n"/>
      <c r="AD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>
        <f>IF(T424="","",T424-TODAY())</f>
        <v/>
      </c>
      <c r="W424" s="10">
        <f>IF(T424="","",IF(T424&lt;TODAY(),"PAST EOS — UNSUPPORTED",IF(T424-TODAY()&lt;=365,"EOS within 12 months","Supported")))</f>
        <v/>
      </c>
      <c r="X424" s="10" t="n"/>
      <c r="Y424" s="10" t="n"/>
      <c r="Z424" s="10" t="n"/>
      <c r="AA424" s="10" t="n"/>
      <c r="AB424" s="10" t="n"/>
      <c r="AC424" s="10" t="n"/>
      <c r="AD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>
        <f>IF(T425="","",T425-TODAY())</f>
        <v/>
      </c>
      <c r="W425" s="10">
        <f>IF(T425="","",IF(T425&lt;TODAY(),"PAST EOS — UNSUPPORTED",IF(T425-TODAY()&lt;=365,"EOS within 12 months","Supported")))</f>
        <v/>
      </c>
      <c r="X425" s="10" t="n"/>
      <c r="Y425" s="10" t="n"/>
      <c r="Z425" s="10" t="n"/>
      <c r="AA425" s="10" t="n"/>
      <c r="AB425" s="10" t="n"/>
      <c r="AC425" s="10" t="n"/>
      <c r="AD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>
        <f>IF(T426="","",T426-TODAY())</f>
        <v/>
      </c>
      <c r="W426" s="10">
        <f>IF(T426="","",IF(T426&lt;TODAY(),"PAST EOS — UNSUPPORTED",IF(T426-TODAY()&lt;=365,"EOS within 12 months","Supported")))</f>
        <v/>
      </c>
      <c r="X426" s="10" t="n"/>
      <c r="Y426" s="10" t="n"/>
      <c r="Z426" s="10" t="n"/>
      <c r="AA426" s="10" t="n"/>
      <c r="AB426" s="10" t="n"/>
      <c r="AC426" s="10" t="n"/>
      <c r="AD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>
        <f>IF(T427="","",T427-TODAY())</f>
        <v/>
      </c>
      <c r="W427" s="10">
        <f>IF(T427="","",IF(T427&lt;TODAY(),"PAST EOS — UNSUPPORTED",IF(T427-TODAY()&lt;=365,"EOS within 12 months","Supported")))</f>
        <v/>
      </c>
      <c r="X427" s="10" t="n"/>
      <c r="Y427" s="10" t="n"/>
      <c r="Z427" s="10" t="n"/>
      <c r="AA427" s="10" t="n"/>
      <c r="AB427" s="10" t="n"/>
      <c r="AC427" s="10" t="n"/>
      <c r="AD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>
        <f>IF(T428="","",T428-TODAY())</f>
        <v/>
      </c>
      <c r="W428" s="10">
        <f>IF(T428="","",IF(T428&lt;TODAY(),"PAST EOS — UNSUPPORTED",IF(T428-TODAY()&lt;=365,"EOS within 12 months","Supported")))</f>
        <v/>
      </c>
      <c r="X428" s="10" t="n"/>
      <c r="Y428" s="10" t="n"/>
      <c r="Z428" s="10" t="n"/>
      <c r="AA428" s="10" t="n"/>
      <c r="AB428" s="10" t="n"/>
      <c r="AC428" s="10" t="n"/>
      <c r="AD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>
        <f>IF(T429="","",T429-TODAY())</f>
        <v/>
      </c>
      <c r="W429" s="10">
        <f>IF(T429="","",IF(T429&lt;TODAY(),"PAST EOS — UNSUPPORTED",IF(T429-TODAY()&lt;=365,"EOS within 12 months","Supported")))</f>
        <v/>
      </c>
      <c r="X429" s="10" t="n"/>
      <c r="Y429" s="10" t="n"/>
      <c r="Z429" s="10" t="n"/>
      <c r="AA429" s="10" t="n"/>
      <c r="AB429" s="10" t="n"/>
      <c r="AC429" s="10" t="n"/>
      <c r="AD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>
        <f>IF(T430="","",T430-TODAY())</f>
        <v/>
      </c>
      <c r="W430" s="10">
        <f>IF(T430="","",IF(T430&lt;TODAY(),"PAST EOS — UNSUPPORTED",IF(T430-TODAY()&lt;=365,"EOS within 12 months","Supported")))</f>
        <v/>
      </c>
      <c r="X430" s="10" t="n"/>
      <c r="Y430" s="10" t="n"/>
      <c r="Z430" s="10" t="n"/>
      <c r="AA430" s="10" t="n"/>
      <c r="AB430" s="10" t="n"/>
      <c r="AC430" s="10" t="n"/>
      <c r="AD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>
        <f>IF(T431="","",T431-TODAY())</f>
        <v/>
      </c>
      <c r="W431" s="10">
        <f>IF(T431="","",IF(T431&lt;TODAY(),"PAST EOS — UNSUPPORTED",IF(T431-TODAY()&lt;=365,"EOS within 12 months","Supported")))</f>
        <v/>
      </c>
      <c r="X431" s="10" t="n"/>
      <c r="Y431" s="10" t="n"/>
      <c r="Z431" s="10" t="n"/>
      <c r="AA431" s="10" t="n"/>
      <c r="AB431" s="10" t="n"/>
      <c r="AC431" s="10" t="n"/>
      <c r="AD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>
        <f>IF(T432="","",T432-TODAY())</f>
        <v/>
      </c>
      <c r="W432" s="10">
        <f>IF(T432="","",IF(T432&lt;TODAY(),"PAST EOS — UNSUPPORTED",IF(T432-TODAY()&lt;=365,"EOS within 12 months","Supported")))</f>
        <v/>
      </c>
      <c r="X432" s="10" t="n"/>
      <c r="Y432" s="10" t="n"/>
      <c r="Z432" s="10" t="n"/>
      <c r="AA432" s="10" t="n"/>
      <c r="AB432" s="10" t="n"/>
      <c r="AC432" s="10" t="n"/>
      <c r="AD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>
        <f>IF(T433="","",T433-TODAY())</f>
        <v/>
      </c>
      <c r="W433" s="10">
        <f>IF(T433="","",IF(T433&lt;TODAY(),"PAST EOS — UNSUPPORTED",IF(T433-TODAY()&lt;=365,"EOS within 12 months","Supported")))</f>
        <v/>
      </c>
      <c r="X433" s="10" t="n"/>
      <c r="Y433" s="10" t="n"/>
      <c r="Z433" s="10" t="n"/>
      <c r="AA433" s="10" t="n"/>
      <c r="AB433" s="10" t="n"/>
      <c r="AC433" s="10" t="n"/>
      <c r="AD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>
        <f>IF(T434="","",T434-TODAY())</f>
        <v/>
      </c>
      <c r="W434" s="10">
        <f>IF(T434="","",IF(T434&lt;TODAY(),"PAST EOS — UNSUPPORTED",IF(T434-TODAY()&lt;=365,"EOS within 12 months","Supported")))</f>
        <v/>
      </c>
      <c r="X434" s="10" t="n"/>
      <c r="Y434" s="10" t="n"/>
      <c r="Z434" s="10" t="n"/>
      <c r="AA434" s="10" t="n"/>
      <c r="AB434" s="10" t="n"/>
      <c r="AC434" s="10" t="n"/>
      <c r="AD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>
        <f>IF(T435="","",T435-TODAY())</f>
        <v/>
      </c>
      <c r="W435" s="10">
        <f>IF(T435="","",IF(T435&lt;TODAY(),"PAST EOS — UNSUPPORTED",IF(T435-TODAY()&lt;=365,"EOS within 12 months","Supported")))</f>
        <v/>
      </c>
      <c r="X435" s="10" t="n"/>
      <c r="Y435" s="10" t="n"/>
      <c r="Z435" s="10" t="n"/>
      <c r="AA435" s="10" t="n"/>
      <c r="AB435" s="10" t="n"/>
      <c r="AC435" s="10" t="n"/>
      <c r="AD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>
        <f>IF(T436="","",T436-TODAY())</f>
        <v/>
      </c>
      <c r="W436" s="10">
        <f>IF(T436="","",IF(T436&lt;TODAY(),"PAST EOS — UNSUPPORTED",IF(T436-TODAY()&lt;=365,"EOS within 12 months","Supported")))</f>
        <v/>
      </c>
      <c r="X436" s="10" t="n"/>
      <c r="Y436" s="10" t="n"/>
      <c r="Z436" s="10" t="n"/>
      <c r="AA436" s="10" t="n"/>
      <c r="AB436" s="10" t="n"/>
      <c r="AC436" s="10" t="n"/>
      <c r="AD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>
        <f>IF(T437="","",T437-TODAY())</f>
        <v/>
      </c>
      <c r="W437" s="10">
        <f>IF(T437="","",IF(T437&lt;TODAY(),"PAST EOS — UNSUPPORTED",IF(T437-TODAY()&lt;=365,"EOS within 12 months","Supported")))</f>
        <v/>
      </c>
      <c r="X437" s="10" t="n"/>
      <c r="Y437" s="10" t="n"/>
      <c r="Z437" s="10" t="n"/>
      <c r="AA437" s="10" t="n"/>
      <c r="AB437" s="10" t="n"/>
      <c r="AC437" s="10" t="n"/>
      <c r="AD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>
        <f>IF(T438="","",T438-TODAY())</f>
        <v/>
      </c>
      <c r="W438" s="10">
        <f>IF(T438="","",IF(T438&lt;TODAY(),"PAST EOS — UNSUPPORTED",IF(T438-TODAY()&lt;=365,"EOS within 12 months","Supported")))</f>
        <v/>
      </c>
      <c r="X438" s="10" t="n"/>
      <c r="Y438" s="10" t="n"/>
      <c r="Z438" s="10" t="n"/>
      <c r="AA438" s="10" t="n"/>
      <c r="AB438" s="10" t="n"/>
      <c r="AC438" s="10" t="n"/>
      <c r="AD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>
        <f>IF(T439="","",T439-TODAY())</f>
        <v/>
      </c>
      <c r="W439" s="10">
        <f>IF(T439="","",IF(T439&lt;TODAY(),"PAST EOS — UNSUPPORTED",IF(T439-TODAY()&lt;=365,"EOS within 12 months","Supported")))</f>
        <v/>
      </c>
      <c r="X439" s="10" t="n"/>
      <c r="Y439" s="10" t="n"/>
      <c r="Z439" s="10" t="n"/>
      <c r="AA439" s="10" t="n"/>
      <c r="AB439" s="10" t="n"/>
      <c r="AC439" s="10" t="n"/>
      <c r="AD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>
        <f>IF(T440="","",T440-TODAY())</f>
        <v/>
      </c>
      <c r="W440" s="10">
        <f>IF(T440="","",IF(T440&lt;TODAY(),"PAST EOS — UNSUPPORTED",IF(T440-TODAY()&lt;=365,"EOS within 12 months","Supported")))</f>
        <v/>
      </c>
      <c r="X440" s="10" t="n"/>
      <c r="Y440" s="10" t="n"/>
      <c r="Z440" s="10" t="n"/>
      <c r="AA440" s="10" t="n"/>
      <c r="AB440" s="10" t="n"/>
      <c r="AC440" s="10" t="n"/>
      <c r="AD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>
        <f>IF(T441="","",T441-TODAY())</f>
        <v/>
      </c>
      <c r="W441" s="10">
        <f>IF(T441="","",IF(T441&lt;TODAY(),"PAST EOS — UNSUPPORTED",IF(T441-TODAY()&lt;=365,"EOS within 12 months","Supported")))</f>
        <v/>
      </c>
      <c r="X441" s="10" t="n"/>
      <c r="Y441" s="10" t="n"/>
      <c r="Z441" s="10" t="n"/>
      <c r="AA441" s="10" t="n"/>
      <c r="AB441" s="10" t="n"/>
      <c r="AC441" s="10" t="n"/>
      <c r="AD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>
        <f>IF(T442="","",T442-TODAY())</f>
        <v/>
      </c>
      <c r="W442" s="10">
        <f>IF(T442="","",IF(T442&lt;TODAY(),"PAST EOS — UNSUPPORTED",IF(T442-TODAY()&lt;=365,"EOS within 12 months","Supported")))</f>
        <v/>
      </c>
      <c r="X442" s="10" t="n"/>
      <c r="Y442" s="10" t="n"/>
      <c r="Z442" s="10" t="n"/>
      <c r="AA442" s="10" t="n"/>
      <c r="AB442" s="10" t="n"/>
      <c r="AC442" s="10" t="n"/>
      <c r="AD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>
        <f>IF(T443="","",T443-TODAY())</f>
        <v/>
      </c>
      <c r="W443" s="10">
        <f>IF(T443="","",IF(T443&lt;TODAY(),"PAST EOS — UNSUPPORTED",IF(T443-TODAY()&lt;=365,"EOS within 12 months","Supported")))</f>
        <v/>
      </c>
      <c r="X443" s="10" t="n"/>
      <c r="Y443" s="10" t="n"/>
      <c r="Z443" s="10" t="n"/>
      <c r="AA443" s="10" t="n"/>
      <c r="AB443" s="10" t="n"/>
      <c r="AC443" s="10" t="n"/>
      <c r="AD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>
        <f>IF(T444="","",T444-TODAY())</f>
        <v/>
      </c>
      <c r="W444" s="10">
        <f>IF(T444="","",IF(T444&lt;TODAY(),"PAST EOS — UNSUPPORTED",IF(T444-TODAY()&lt;=365,"EOS within 12 months","Supported")))</f>
        <v/>
      </c>
      <c r="X444" s="10" t="n"/>
      <c r="Y444" s="10" t="n"/>
      <c r="Z444" s="10" t="n"/>
      <c r="AA444" s="10" t="n"/>
      <c r="AB444" s="10" t="n"/>
      <c r="AC444" s="10" t="n"/>
      <c r="AD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>
        <f>IF(T445="","",T445-TODAY())</f>
        <v/>
      </c>
      <c r="W445" s="10">
        <f>IF(T445="","",IF(T445&lt;TODAY(),"PAST EOS — UNSUPPORTED",IF(T445-TODAY()&lt;=365,"EOS within 12 months","Supported")))</f>
        <v/>
      </c>
      <c r="X445" s="10" t="n"/>
      <c r="Y445" s="10" t="n"/>
      <c r="Z445" s="10" t="n"/>
      <c r="AA445" s="10" t="n"/>
      <c r="AB445" s="10" t="n"/>
      <c r="AC445" s="10" t="n"/>
      <c r="AD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>
        <f>IF(T446="","",T446-TODAY())</f>
        <v/>
      </c>
      <c r="W446" s="10">
        <f>IF(T446="","",IF(T446&lt;TODAY(),"PAST EOS — UNSUPPORTED",IF(T446-TODAY()&lt;=365,"EOS within 12 months","Supported")))</f>
        <v/>
      </c>
      <c r="X446" s="10" t="n"/>
      <c r="Y446" s="10" t="n"/>
      <c r="Z446" s="10" t="n"/>
      <c r="AA446" s="10" t="n"/>
      <c r="AB446" s="10" t="n"/>
      <c r="AC446" s="10" t="n"/>
      <c r="AD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>
        <f>IF(T447="","",T447-TODAY())</f>
        <v/>
      </c>
      <c r="W447" s="10">
        <f>IF(T447="","",IF(T447&lt;TODAY(),"PAST EOS — UNSUPPORTED",IF(T447-TODAY()&lt;=365,"EOS within 12 months","Supported")))</f>
        <v/>
      </c>
      <c r="X447" s="10" t="n"/>
      <c r="Y447" s="10" t="n"/>
      <c r="Z447" s="10" t="n"/>
      <c r="AA447" s="10" t="n"/>
      <c r="AB447" s="10" t="n"/>
      <c r="AC447" s="10" t="n"/>
      <c r="AD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>
        <f>IF(T448="","",T448-TODAY())</f>
        <v/>
      </c>
      <c r="W448" s="10">
        <f>IF(T448="","",IF(T448&lt;TODAY(),"PAST EOS — UNSUPPORTED",IF(T448-TODAY()&lt;=365,"EOS within 12 months","Supported")))</f>
        <v/>
      </c>
      <c r="X448" s="10" t="n"/>
      <c r="Y448" s="10" t="n"/>
      <c r="Z448" s="10" t="n"/>
      <c r="AA448" s="10" t="n"/>
      <c r="AB448" s="10" t="n"/>
      <c r="AC448" s="10" t="n"/>
      <c r="AD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>
        <f>IF(T449="","",T449-TODAY())</f>
        <v/>
      </c>
      <c r="W449" s="10">
        <f>IF(T449="","",IF(T449&lt;TODAY(),"PAST EOS — UNSUPPORTED",IF(T449-TODAY()&lt;=365,"EOS within 12 months","Supported")))</f>
        <v/>
      </c>
      <c r="X449" s="10" t="n"/>
      <c r="Y449" s="10" t="n"/>
      <c r="Z449" s="10" t="n"/>
      <c r="AA449" s="10" t="n"/>
      <c r="AB449" s="10" t="n"/>
      <c r="AC449" s="10" t="n"/>
      <c r="AD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>
        <f>IF(T450="","",T450-TODAY())</f>
        <v/>
      </c>
      <c r="W450" s="10">
        <f>IF(T450="","",IF(T450&lt;TODAY(),"PAST EOS — UNSUPPORTED",IF(T450-TODAY()&lt;=365,"EOS within 12 months","Supported")))</f>
        <v/>
      </c>
      <c r="X450" s="10" t="n"/>
      <c r="Y450" s="10" t="n"/>
      <c r="Z450" s="10" t="n"/>
      <c r="AA450" s="10" t="n"/>
      <c r="AB450" s="10" t="n"/>
      <c r="AC450" s="10" t="n"/>
      <c r="AD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>
        <f>IF(T451="","",T451-TODAY())</f>
        <v/>
      </c>
      <c r="W451" s="10">
        <f>IF(T451="","",IF(T451&lt;TODAY(),"PAST EOS — UNSUPPORTED",IF(T451-TODAY()&lt;=365,"EOS within 12 months","Supported")))</f>
        <v/>
      </c>
      <c r="X451" s="10" t="n"/>
      <c r="Y451" s="10" t="n"/>
      <c r="Z451" s="10" t="n"/>
      <c r="AA451" s="10" t="n"/>
      <c r="AB451" s="10" t="n"/>
      <c r="AC451" s="10" t="n"/>
      <c r="AD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>
        <f>IF(T452="","",T452-TODAY())</f>
        <v/>
      </c>
      <c r="W452" s="10">
        <f>IF(T452="","",IF(T452&lt;TODAY(),"PAST EOS — UNSUPPORTED",IF(T452-TODAY()&lt;=365,"EOS within 12 months","Supported")))</f>
        <v/>
      </c>
      <c r="X452" s="10" t="n"/>
      <c r="Y452" s="10" t="n"/>
      <c r="Z452" s="10" t="n"/>
      <c r="AA452" s="10" t="n"/>
      <c r="AB452" s="10" t="n"/>
      <c r="AC452" s="10" t="n"/>
      <c r="AD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>
        <f>IF(T453="","",T453-TODAY())</f>
        <v/>
      </c>
      <c r="W453" s="10">
        <f>IF(T453="","",IF(T453&lt;TODAY(),"PAST EOS — UNSUPPORTED",IF(T453-TODAY()&lt;=365,"EOS within 12 months","Supported")))</f>
        <v/>
      </c>
      <c r="X453" s="10" t="n"/>
      <c r="Y453" s="10" t="n"/>
      <c r="Z453" s="10" t="n"/>
      <c r="AA453" s="10" t="n"/>
      <c r="AB453" s="10" t="n"/>
      <c r="AC453" s="10" t="n"/>
      <c r="AD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>
        <f>IF(T454="","",T454-TODAY())</f>
        <v/>
      </c>
      <c r="W454" s="10">
        <f>IF(T454="","",IF(T454&lt;TODAY(),"PAST EOS — UNSUPPORTED",IF(T454-TODAY()&lt;=365,"EOS within 12 months","Supported")))</f>
        <v/>
      </c>
      <c r="X454" s="10" t="n"/>
      <c r="Y454" s="10" t="n"/>
      <c r="Z454" s="10" t="n"/>
      <c r="AA454" s="10" t="n"/>
      <c r="AB454" s="10" t="n"/>
      <c r="AC454" s="10" t="n"/>
      <c r="AD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>
        <f>IF(T455="","",T455-TODAY())</f>
        <v/>
      </c>
      <c r="W455" s="10">
        <f>IF(T455="","",IF(T455&lt;TODAY(),"PAST EOS — UNSUPPORTED",IF(T455-TODAY()&lt;=365,"EOS within 12 months","Supported")))</f>
        <v/>
      </c>
      <c r="X455" s="10" t="n"/>
      <c r="Y455" s="10" t="n"/>
      <c r="Z455" s="10" t="n"/>
      <c r="AA455" s="10" t="n"/>
      <c r="AB455" s="10" t="n"/>
      <c r="AC455" s="10" t="n"/>
      <c r="AD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>
        <f>IF(T456="","",T456-TODAY())</f>
        <v/>
      </c>
      <c r="W456" s="10">
        <f>IF(T456="","",IF(T456&lt;TODAY(),"PAST EOS — UNSUPPORTED",IF(T456-TODAY()&lt;=365,"EOS within 12 months","Supported")))</f>
        <v/>
      </c>
      <c r="X456" s="10" t="n"/>
      <c r="Y456" s="10" t="n"/>
      <c r="Z456" s="10" t="n"/>
      <c r="AA456" s="10" t="n"/>
      <c r="AB456" s="10" t="n"/>
      <c r="AC456" s="10" t="n"/>
      <c r="AD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>
        <f>IF(T457="","",T457-TODAY())</f>
        <v/>
      </c>
      <c r="W457" s="10">
        <f>IF(T457="","",IF(T457&lt;TODAY(),"PAST EOS — UNSUPPORTED",IF(T457-TODAY()&lt;=365,"EOS within 12 months","Supported")))</f>
        <v/>
      </c>
      <c r="X457" s="10" t="n"/>
      <c r="Y457" s="10" t="n"/>
      <c r="Z457" s="10" t="n"/>
      <c r="AA457" s="10" t="n"/>
      <c r="AB457" s="10" t="n"/>
      <c r="AC457" s="10" t="n"/>
      <c r="AD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>
        <f>IF(T458="","",T458-TODAY())</f>
        <v/>
      </c>
      <c r="W458" s="10">
        <f>IF(T458="","",IF(T458&lt;TODAY(),"PAST EOS — UNSUPPORTED",IF(T458-TODAY()&lt;=365,"EOS within 12 months","Supported")))</f>
        <v/>
      </c>
      <c r="X458" s="10" t="n"/>
      <c r="Y458" s="10" t="n"/>
      <c r="Z458" s="10" t="n"/>
      <c r="AA458" s="10" t="n"/>
      <c r="AB458" s="10" t="n"/>
      <c r="AC458" s="10" t="n"/>
      <c r="AD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>
        <f>IF(T459="","",T459-TODAY())</f>
        <v/>
      </c>
      <c r="W459" s="10">
        <f>IF(T459="","",IF(T459&lt;TODAY(),"PAST EOS — UNSUPPORTED",IF(T459-TODAY()&lt;=365,"EOS within 12 months","Supported")))</f>
        <v/>
      </c>
      <c r="X459" s="10" t="n"/>
      <c r="Y459" s="10" t="n"/>
      <c r="Z459" s="10" t="n"/>
      <c r="AA459" s="10" t="n"/>
      <c r="AB459" s="10" t="n"/>
      <c r="AC459" s="10" t="n"/>
      <c r="AD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>
        <f>IF(T460="","",T460-TODAY())</f>
        <v/>
      </c>
      <c r="W460" s="10">
        <f>IF(T460="","",IF(T460&lt;TODAY(),"PAST EOS — UNSUPPORTED",IF(T460-TODAY()&lt;=365,"EOS within 12 months","Supported")))</f>
        <v/>
      </c>
      <c r="X460" s="10" t="n"/>
      <c r="Y460" s="10" t="n"/>
      <c r="Z460" s="10" t="n"/>
      <c r="AA460" s="10" t="n"/>
      <c r="AB460" s="10" t="n"/>
      <c r="AC460" s="10" t="n"/>
      <c r="AD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>
        <f>IF(T461="","",T461-TODAY())</f>
        <v/>
      </c>
      <c r="W461" s="10">
        <f>IF(T461="","",IF(T461&lt;TODAY(),"PAST EOS — UNSUPPORTED",IF(T461-TODAY()&lt;=365,"EOS within 12 months","Supported")))</f>
        <v/>
      </c>
      <c r="X461" s="10" t="n"/>
      <c r="Y461" s="10" t="n"/>
      <c r="Z461" s="10" t="n"/>
      <c r="AA461" s="10" t="n"/>
      <c r="AB461" s="10" t="n"/>
      <c r="AC461" s="10" t="n"/>
      <c r="AD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>
        <f>IF(T462="","",T462-TODAY())</f>
        <v/>
      </c>
      <c r="W462" s="10">
        <f>IF(T462="","",IF(T462&lt;TODAY(),"PAST EOS — UNSUPPORTED",IF(T462-TODAY()&lt;=365,"EOS within 12 months","Supported")))</f>
        <v/>
      </c>
      <c r="X462" s="10" t="n"/>
      <c r="Y462" s="10" t="n"/>
      <c r="Z462" s="10" t="n"/>
      <c r="AA462" s="10" t="n"/>
      <c r="AB462" s="10" t="n"/>
      <c r="AC462" s="10" t="n"/>
      <c r="AD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>
        <f>IF(T463="","",T463-TODAY())</f>
        <v/>
      </c>
      <c r="W463" s="10">
        <f>IF(T463="","",IF(T463&lt;TODAY(),"PAST EOS — UNSUPPORTED",IF(T463-TODAY()&lt;=365,"EOS within 12 months","Supported")))</f>
        <v/>
      </c>
      <c r="X463" s="10" t="n"/>
      <c r="Y463" s="10" t="n"/>
      <c r="Z463" s="10" t="n"/>
      <c r="AA463" s="10" t="n"/>
      <c r="AB463" s="10" t="n"/>
      <c r="AC463" s="10" t="n"/>
      <c r="AD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>
        <f>IF(T464="","",T464-TODAY())</f>
        <v/>
      </c>
      <c r="W464" s="10">
        <f>IF(T464="","",IF(T464&lt;TODAY(),"PAST EOS — UNSUPPORTED",IF(T464-TODAY()&lt;=365,"EOS within 12 months","Supported")))</f>
        <v/>
      </c>
      <c r="X464" s="10" t="n"/>
      <c r="Y464" s="10" t="n"/>
      <c r="Z464" s="10" t="n"/>
      <c r="AA464" s="10" t="n"/>
      <c r="AB464" s="10" t="n"/>
      <c r="AC464" s="10" t="n"/>
      <c r="AD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>
        <f>IF(T465="","",T465-TODAY())</f>
        <v/>
      </c>
      <c r="W465" s="10">
        <f>IF(T465="","",IF(T465&lt;TODAY(),"PAST EOS — UNSUPPORTED",IF(T465-TODAY()&lt;=365,"EOS within 12 months","Supported")))</f>
        <v/>
      </c>
      <c r="X465" s="10" t="n"/>
      <c r="Y465" s="10" t="n"/>
      <c r="Z465" s="10" t="n"/>
      <c r="AA465" s="10" t="n"/>
      <c r="AB465" s="10" t="n"/>
      <c r="AC465" s="10" t="n"/>
      <c r="AD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>
        <f>IF(T466="","",T466-TODAY())</f>
        <v/>
      </c>
      <c r="W466" s="10">
        <f>IF(T466="","",IF(T466&lt;TODAY(),"PAST EOS — UNSUPPORTED",IF(T466-TODAY()&lt;=365,"EOS within 12 months","Supported")))</f>
        <v/>
      </c>
      <c r="X466" s="10" t="n"/>
      <c r="Y466" s="10" t="n"/>
      <c r="Z466" s="10" t="n"/>
      <c r="AA466" s="10" t="n"/>
      <c r="AB466" s="10" t="n"/>
      <c r="AC466" s="10" t="n"/>
      <c r="AD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>
        <f>IF(T467="","",T467-TODAY())</f>
        <v/>
      </c>
      <c r="W467" s="10">
        <f>IF(T467="","",IF(T467&lt;TODAY(),"PAST EOS — UNSUPPORTED",IF(T467-TODAY()&lt;=365,"EOS within 12 months","Supported")))</f>
        <v/>
      </c>
      <c r="X467" s="10" t="n"/>
      <c r="Y467" s="10" t="n"/>
      <c r="Z467" s="10" t="n"/>
      <c r="AA467" s="10" t="n"/>
      <c r="AB467" s="10" t="n"/>
      <c r="AC467" s="10" t="n"/>
      <c r="AD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>
        <f>IF(T468="","",T468-TODAY())</f>
        <v/>
      </c>
      <c r="W468" s="10">
        <f>IF(T468="","",IF(T468&lt;TODAY(),"PAST EOS — UNSUPPORTED",IF(T468-TODAY()&lt;=365,"EOS within 12 months","Supported")))</f>
        <v/>
      </c>
      <c r="X468" s="10" t="n"/>
      <c r="Y468" s="10" t="n"/>
      <c r="Z468" s="10" t="n"/>
      <c r="AA468" s="10" t="n"/>
      <c r="AB468" s="10" t="n"/>
      <c r="AC468" s="10" t="n"/>
      <c r="AD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>
        <f>IF(T469="","",T469-TODAY())</f>
        <v/>
      </c>
      <c r="W469" s="10">
        <f>IF(T469="","",IF(T469&lt;TODAY(),"PAST EOS — UNSUPPORTED",IF(T469-TODAY()&lt;=365,"EOS within 12 months","Supported")))</f>
        <v/>
      </c>
      <c r="X469" s="10" t="n"/>
      <c r="Y469" s="10" t="n"/>
      <c r="Z469" s="10" t="n"/>
      <c r="AA469" s="10" t="n"/>
      <c r="AB469" s="10" t="n"/>
      <c r="AC469" s="10" t="n"/>
      <c r="AD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>
        <f>IF(T470="","",T470-TODAY())</f>
        <v/>
      </c>
      <c r="W470" s="10">
        <f>IF(T470="","",IF(T470&lt;TODAY(),"PAST EOS — UNSUPPORTED",IF(T470-TODAY()&lt;=365,"EOS within 12 months","Supported")))</f>
        <v/>
      </c>
      <c r="X470" s="10" t="n"/>
      <c r="Y470" s="10" t="n"/>
      <c r="Z470" s="10" t="n"/>
      <c r="AA470" s="10" t="n"/>
      <c r="AB470" s="10" t="n"/>
      <c r="AC470" s="10" t="n"/>
      <c r="AD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>
        <f>IF(T471="","",T471-TODAY())</f>
        <v/>
      </c>
      <c r="W471" s="10">
        <f>IF(T471="","",IF(T471&lt;TODAY(),"PAST EOS — UNSUPPORTED",IF(T471-TODAY()&lt;=365,"EOS within 12 months","Supported")))</f>
        <v/>
      </c>
      <c r="X471" s="10" t="n"/>
      <c r="Y471" s="10" t="n"/>
      <c r="Z471" s="10" t="n"/>
      <c r="AA471" s="10" t="n"/>
      <c r="AB471" s="10" t="n"/>
      <c r="AC471" s="10" t="n"/>
      <c r="AD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>
        <f>IF(T472="","",T472-TODAY())</f>
        <v/>
      </c>
      <c r="W472" s="10">
        <f>IF(T472="","",IF(T472&lt;TODAY(),"PAST EOS — UNSUPPORTED",IF(T472-TODAY()&lt;=365,"EOS within 12 months","Supported")))</f>
        <v/>
      </c>
      <c r="X472" s="10" t="n"/>
      <c r="Y472" s="10" t="n"/>
      <c r="Z472" s="10" t="n"/>
      <c r="AA472" s="10" t="n"/>
      <c r="AB472" s="10" t="n"/>
      <c r="AC472" s="10" t="n"/>
      <c r="AD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>
        <f>IF(T473="","",T473-TODAY())</f>
        <v/>
      </c>
      <c r="W473" s="10">
        <f>IF(T473="","",IF(T473&lt;TODAY(),"PAST EOS — UNSUPPORTED",IF(T473-TODAY()&lt;=365,"EOS within 12 months","Supported")))</f>
        <v/>
      </c>
      <c r="X473" s="10" t="n"/>
      <c r="Y473" s="10" t="n"/>
      <c r="Z473" s="10" t="n"/>
      <c r="AA473" s="10" t="n"/>
      <c r="AB473" s="10" t="n"/>
      <c r="AC473" s="10" t="n"/>
      <c r="AD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>
        <f>IF(T474="","",T474-TODAY())</f>
        <v/>
      </c>
      <c r="W474" s="10">
        <f>IF(T474="","",IF(T474&lt;TODAY(),"PAST EOS — UNSUPPORTED",IF(T474-TODAY()&lt;=365,"EOS within 12 months","Supported")))</f>
        <v/>
      </c>
      <c r="X474" s="10" t="n"/>
      <c r="Y474" s="10" t="n"/>
      <c r="Z474" s="10" t="n"/>
      <c r="AA474" s="10" t="n"/>
      <c r="AB474" s="10" t="n"/>
      <c r="AC474" s="10" t="n"/>
      <c r="AD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>
        <f>IF(T475="","",T475-TODAY())</f>
        <v/>
      </c>
      <c r="W475" s="10">
        <f>IF(T475="","",IF(T475&lt;TODAY(),"PAST EOS — UNSUPPORTED",IF(T475-TODAY()&lt;=365,"EOS within 12 months","Supported")))</f>
        <v/>
      </c>
      <c r="X475" s="10" t="n"/>
      <c r="Y475" s="10" t="n"/>
      <c r="Z475" s="10" t="n"/>
      <c r="AA475" s="10" t="n"/>
      <c r="AB475" s="10" t="n"/>
      <c r="AC475" s="10" t="n"/>
      <c r="AD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>
        <f>IF(T476="","",T476-TODAY())</f>
        <v/>
      </c>
      <c r="W476" s="10">
        <f>IF(T476="","",IF(T476&lt;TODAY(),"PAST EOS — UNSUPPORTED",IF(T476-TODAY()&lt;=365,"EOS within 12 months","Supported")))</f>
        <v/>
      </c>
      <c r="X476" s="10" t="n"/>
      <c r="Y476" s="10" t="n"/>
      <c r="Z476" s="10" t="n"/>
      <c r="AA476" s="10" t="n"/>
      <c r="AB476" s="10" t="n"/>
      <c r="AC476" s="10" t="n"/>
      <c r="AD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>
        <f>IF(T477="","",T477-TODAY())</f>
        <v/>
      </c>
      <c r="W477" s="10">
        <f>IF(T477="","",IF(T477&lt;TODAY(),"PAST EOS — UNSUPPORTED",IF(T477-TODAY()&lt;=365,"EOS within 12 months","Supported")))</f>
        <v/>
      </c>
      <c r="X477" s="10" t="n"/>
      <c r="Y477" s="10" t="n"/>
      <c r="Z477" s="10" t="n"/>
      <c r="AA477" s="10" t="n"/>
      <c r="AB477" s="10" t="n"/>
      <c r="AC477" s="10" t="n"/>
      <c r="AD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>
        <f>IF(T478="","",T478-TODAY())</f>
        <v/>
      </c>
      <c r="W478" s="10">
        <f>IF(T478="","",IF(T478&lt;TODAY(),"PAST EOS — UNSUPPORTED",IF(T478-TODAY()&lt;=365,"EOS within 12 months","Supported")))</f>
        <v/>
      </c>
      <c r="X478" s="10" t="n"/>
      <c r="Y478" s="10" t="n"/>
      <c r="Z478" s="10" t="n"/>
      <c r="AA478" s="10" t="n"/>
      <c r="AB478" s="10" t="n"/>
      <c r="AC478" s="10" t="n"/>
      <c r="AD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>
        <f>IF(T479="","",T479-TODAY())</f>
        <v/>
      </c>
      <c r="W479" s="10">
        <f>IF(T479="","",IF(T479&lt;TODAY(),"PAST EOS — UNSUPPORTED",IF(T479-TODAY()&lt;=365,"EOS within 12 months","Supported")))</f>
        <v/>
      </c>
      <c r="X479" s="10" t="n"/>
      <c r="Y479" s="10" t="n"/>
      <c r="Z479" s="10" t="n"/>
      <c r="AA479" s="10" t="n"/>
      <c r="AB479" s="10" t="n"/>
      <c r="AC479" s="10" t="n"/>
      <c r="AD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>
        <f>IF(T480="","",T480-TODAY())</f>
        <v/>
      </c>
      <c r="W480" s="10">
        <f>IF(T480="","",IF(T480&lt;TODAY(),"PAST EOS — UNSUPPORTED",IF(T480-TODAY()&lt;=365,"EOS within 12 months","Supported")))</f>
        <v/>
      </c>
      <c r="X480" s="10" t="n"/>
      <c r="Y480" s="10" t="n"/>
      <c r="Z480" s="10" t="n"/>
      <c r="AA480" s="10" t="n"/>
      <c r="AB480" s="10" t="n"/>
      <c r="AC480" s="10" t="n"/>
      <c r="AD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>
        <f>IF(T481="","",T481-TODAY())</f>
        <v/>
      </c>
      <c r="W481" s="10">
        <f>IF(T481="","",IF(T481&lt;TODAY(),"PAST EOS — UNSUPPORTED",IF(T481-TODAY()&lt;=365,"EOS within 12 months","Supported")))</f>
        <v/>
      </c>
      <c r="X481" s="10" t="n"/>
      <c r="Y481" s="10" t="n"/>
      <c r="Z481" s="10" t="n"/>
      <c r="AA481" s="10" t="n"/>
      <c r="AB481" s="10" t="n"/>
      <c r="AC481" s="10" t="n"/>
      <c r="AD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>
        <f>IF(T482="","",T482-TODAY())</f>
        <v/>
      </c>
      <c r="W482" s="10">
        <f>IF(T482="","",IF(T482&lt;TODAY(),"PAST EOS — UNSUPPORTED",IF(T482-TODAY()&lt;=365,"EOS within 12 months","Supported")))</f>
        <v/>
      </c>
      <c r="X482" s="10" t="n"/>
      <c r="Y482" s="10" t="n"/>
      <c r="Z482" s="10" t="n"/>
      <c r="AA482" s="10" t="n"/>
      <c r="AB482" s="10" t="n"/>
      <c r="AC482" s="10" t="n"/>
      <c r="AD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>
        <f>IF(T483="","",T483-TODAY())</f>
        <v/>
      </c>
      <c r="W483" s="10">
        <f>IF(T483="","",IF(T483&lt;TODAY(),"PAST EOS — UNSUPPORTED",IF(T483-TODAY()&lt;=365,"EOS within 12 months","Supported")))</f>
        <v/>
      </c>
      <c r="X483" s="10" t="n"/>
      <c r="Y483" s="10" t="n"/>
      <c r="Z483" s="10" t="n"/>
      <c r="AA483" s="10" t="n"/>
      <c r="AB483" s="10" t="n"/>
      <c r="AC483" s="10" t="n"/>
      <c r="AD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>
        <f>IF(T484="","",T484-TODAY())</f>
        <v/>
      </c>
      <c r="W484" s="10">
        <f>IF(T484="","",IF(T484&lt;TODAY(),"PAST EOS — UNSUPPORTED",IF(T484-TODAY()&lt;=365,"EOS within 12 months","Supported")))</f>
        <v/>
      </c>
      <c r="X484" s="10" t="n"/>
      <c r="Y484" s="10" t="n"/>
      <c r="Z484" s="10" t="n"/>
      <c r="AA484" s="10" t="n"/>
      <c r="AB484" s="10" t="n"/>
      <c r="AC484" s="10" t="n"/>
      <c r="AD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>
        <f>IF(T485="","",T485-TODAY())</f>
        <v/>
      </c>
      <c r="W485" s="10">
        <f>IF(T485="","",IF(T485&lt;TODAY(),"PAST EOS — UNSUPPORTED",IF(T485-TODAY()&lt;=365,"EOS within 12 months","Supported")))</f>
        <v/>
      </c>
      <c r="X485" s="10" t="n"/>
      <c r="Y485" s="10" t="n"/>
      <c r="Z485" s="10" t="n"/>
      <c r="AA485" s="10" t="n"/>
      <c r="AB485" s="10" t="n"/>
      <c r="AC485" s="10" t="n"/>
      <c r="AD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>
        <f>IF(T486="","",T486-TODAY())</f>
        <v/>
      </c>
      <c r="W486" s="10">
        <f>IF(T486="","",IF(T486&lt;TODAY(),"PAST EOS — UNSUPPORTED",IF(T486-TODAY()&lt;=365,"EOS within 12 months","Supported")))</f>
        <v/>
      </c>
      <c r="X486" s="10" t="n"/>
      <c r="Y486" s="10" t="n"/>
      <c r="Z486" s="10" t="n"/>
      <c r="AA486" s="10" t="n"/>
      <c r="AB486" s="10" t="n"/>
      <c r="AC486" s="10" t="n"/>
      <c r="AD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>
        <f>IF(T487="","",T487-TODAY())</f>
        <v/>
      </c>
      <c r="W487" s="10">
        <f>IF(T487="","",IF(T487&lt;TODAY(),"PAST EOS — UNSUPPORTED",IF(T487-TODAY()&lt;=365,"EOS within 12 months","Supported")))</f>
        <v/>
      </c>
      <c r="X487" s="10" t="n"/>
      <c r="Y487" s="10" t="n"/>
      <c r="Z487" s="10" t="n"/>
      <c r="AA487" s="10" t="n"/>
      <c r="AB487" s="10" t="n"/>
      <c r="AC487" s="10" t="n"/>
      <c r="AD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>
        <f>IF(T488="","",T488-TODAY())</f>
        <v/>
      </c>
      <c r="W488" s="10">
        <f>IF(T488="","",IF(T488&lt;TODAY(),"PAST EOS — UNSUPPORTED",IF(T488-TODAY()&lt;=365,"EOS within 12 months","Supported")))</f>
        <v/>
      </c>
      <c r="X488" s="10" t="n"/>
      <c r="Y488" s="10" t="n"/>
      <c r="Z488" s="10" t="n"/>
      <c r="AA488" s="10" t="n"/>
      <c r="AB488" s="10" t="n"/>
      <c r="AC488" s="10" t="n"/>
      <c r="AD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>
        <f>IF(T489="","",T489-TODAY())</f>
        <v/>
      </c>
      <c r="W489" s="10">
        <f>IF(T489="","",IF(T489&lt;TODAY(),"PAST EOS — UNSUPPORTED",IF(T489-TODAY()&lt;=365,"EOS within 12 months","Supported")))</f>
        <v/>
      </c>
      <c r="X489" s="10" t="n"/>
      <c r="Y489" s="10" t="n"/>
      <c r="Z489" s="10" t="n"/>
      <c r="AA489" s="10" t="n"/>
      <c r="AB489" s="10" t="n"/>
      <c r="AC489" s="10" t="n"/>
      <c r="AD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>
        <f>IF(T490="","",T490-TODAY())</f>
        <v/>
      </c>
      <c r="W490" s="10">
        <f>IF(T490="","",IF(T490&lt;TODAY(),"PAST EOS — UNSUPPORTED",IF(T490-TODAY()&lt;=365,"EOS within 12 months","Supported")))</f>
        <v/>
      </c>
      <c r="X490" s="10" t="n"/>
      <c r="Y490" s="10" t="n"/>
      <c r="Z490" s="10" t="n"/>
      <c r="AA490" s="10" t="n"/>
      <c r="AB490" s="10" t="n"/>
      <c r="AC490" s="10" t="n"/>
      <c r="AD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>
        <f>IF(T491="","",T491-TODAY())</f>
        <v/>
      </c>
      <c r="W491" s="10">
        <f>IF(T491="","",IF(T491&lt;TODAY(),"PAST EOS — UNSUPPORTED",IF(T491-TODAY()&lt;=365,"EOS within 12 months","Supported")))</f>
        <v/>
      </c>
      <c r="X491" s="10" t="n"/>
      <c r="Y491" s="10" t="n"/>
      <c r="Z491" s="10" t="n"/>
      <c r="AA491" s="10" t="n"/>
      <c r="AB491" s="10" t="n"/>
      <c r="AC491" s="10" t="n"/>
      <c r="AD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>
        <f>IF(T492="","",T492-TODAY())</f>
        <v/>
      </c>
      <c r="W492" s="10">
        <f>IF(T492="","",IF(T492&lt;TODAY(),"PAST EOS — UNSUPPORTED",IF(T492-TODAY()&lt;=365,"EOS within 12 months","Supported")))</f>
        <v/>
      </c>
      <c r="X492" s="10" t="n"/>
      <c r="Y492" s="10" t="n"/>
      <c r="Z492" s="10" t="n"/>
      <c r="AA492" s="10" t="n"/>
      <c r="AB492" s="10" t="n"/>
      <c r="AC492" s="10" t="n"/>
      <c r="AD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>
        <f>IF(T493="","",T493-TODAY())</f>
        <v/>
      </c>
      <c r="W493" s="10">
        <f>IF(T493="","",IF(T493&lt;TODAY(),"PAST EOS — UNSUPPORTED",IF(T493-TODAY()&lt;=365,"EOS within 12 months","Supported")))</f>
        <v/>
      </c>
      <c r="X493" s="10" t="n"/>
      <c r="Y493" s="10" t="n"/>
      <c r="Z493" s="10" t="n"/>
      <c r="AA493" s="10" t="n"/>
      <c r="AB493" s="10" t="n"/>
      <c r="AC493" s="10" t="n"/>
      <c r="AD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>
        <f>IF(T494="","",T494-TODAY())</f>
        <v/>
      </c>
      <c r="W494" s="10">
        <f>IF(T494="","",IF(T494&lt;TODAY(),"PAST EOS — UNSUPPORTED",IF(T494-TODAY()&lt;=365,"EOS within 12 months","Supported")))</f>
        <v/>
      </c>
      <c r="X494" s="10" t="n"/>
      <c r="Y494" s="10" t="n"/>
      <c r="Z494" s="10" t="n"/>
      <c r="AA494" s="10" t="n"/>
      <c r="AB494" s="10" t="n"/>
      <c r="AC494" s="10" t="n"/>
      <c r="AD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>
        <f>IF(T495="","",T495-TODAY())</f>
        <v/>
      </c>
      <c r="W495" s="10">
        <f>IF(T495="","",IF(T495&lt;TODAY(),"PAST EOS — UNSUPPORTED",IF(T495-TODAY()&lt;=365,"EOS within 12 months","Supported")))</f>
        <v/>
      </c>
      <c r="X495" s="10" t="n"/>
      <c r="Y495" s="10" t="n"/>
      <c r="Z495" s="10" t="n"/>
      <c r="AA495" s="10" t="n"/>
      <c r="AB495" s="10" t="n"/>
      <c r="AC495" s="10" t="n"/>
      <c r="AD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>
        <f>IF(T496="","",T496-TODAY())</f>
        <v/>
      </c>
      <c r="W496" s="10">
        <f>IF(T496="","",IF(T496&lt;TODAY(),"PAST EOS — UNSUPPORTED",IF(T496-TODAY()&lt;=365,"EOS within 12 months","Supported")))</f>
        <v/>
      </c>
      <c r="X496" s="10" t="n"/>
      <c r="Y496" s="10" t="n"/>
      <c r="Z496" s="10" t="n"/>
      <c r="AA496" s="10" t="n"/>
      <c r="AB496" s="10" t="n"/>
      <c r="AC496" s="10" t="n"/>
      <c r="AD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>
        <f>IF(T497="","",T497-TODAY())</f>
        <v/>
      </c>
      <c r="W497" s="10">
        <f>IF(T497="","",IF(T497&lt;TODAY(),"PAST EOS — UNSUPPORTED",IF(T497-TODAY()&lt;=365,"EOS within 12 months","Supported")))</f>
        <v/>
      </c>
      <c r="X497" s="10" t="n"/>
      <c r="Y497" s="10" t="n"/>
      <c r="Z497" s="10" t="n"/>
      <c r="AA497" s="10" t="n"/>
      <c r="AB497" s="10" t="n"/>
      <c r="AC497" s="10" t="n"/>
      <c r="AD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>
        <f>IF(T498="","",T498-TODAY())</f>
        <v/>
      </c>
      <c r="W498" s="10">
        <f>IF(T498="","",IF(T498&lt;TODAY(),"PAST EOS — UNSUPPORTED",IF(T498-TODAY()&lt;=365,"EOS within 12 months","Supported")))</f>
        <v/>
      </c>
      <c r="X498" s="10" t="n"/>
      <c r="Y498" s="10" t="n"/>
      <c r="Z498" s="10" t="n"/>
      <c r="AA498" s="10" t="n"/>
      <c r="AB498" s="10" t="n"/>
      <c r="AC498" s="10" t="n"/>
      <c r="AD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>
        <f>IF(T499="","",T499-TODAY())</f>
        <v/>
      </c>
      <c r="W499" s="10">
        <f>IF(T499="","",IF(T499&lt;TODAY(),"PAST EOS — UNSUPPORTED",IF(T499-TODAY()&lt;=365,"EOS within 12 months","Supported")))</f>
        <v/>
      </c>
      <c r="X499" s="10" t="n"/>
      <c r="Y499" s="10" t="n"/>
      <c r="Z499" s="10" t="n"/>
      <c r="AA499" s="10" t="n"/>
      <c r="AB499" s="10" t="n"/>
      <c r="AC499" s="10" t="n"/>
      <c r="AD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>
        <f>IF(T500="","",T500-TODAY())</f>
        <v/>
      </c>
      <c r="W500" s="10">
        <f>IF(T500="","",IF(T500&lt;TODAY(),"PAST EOS — UNSUPPORTED",IF(T500-TODAY()&lt;=365,"EOS within 12 months","Supported")))</f>
        <v/>
      </c>
      <c r="X500" s="10" t="n"/>
      <c r="Y500" s="10" t="n"/>
      <c r="Z500" s="10" t="n"/>
      <c r="AA500" s="10" t="n"/>
      <c r="AB500" s="10" t="n"/>
      <c r="AC500" s="10" t="n"/>
      <c r="AD500" s="10" t="n"/>
    </row>
  </sheetData>
  <mergeCells count="6">
    <mergeCell ref="G1:L1"/>
    <mergeCell ref="X1:Y1"/>
    <mergeCell ref="A1:F1"/>
    <mergeCell ref="S1:W1"/>
    <mergeCell ref="M1:R1"/>
    <mergeCell ref="Z1:AC1"/>
  </mergeCells>
  <conditionalFormatting sqref="N3:N500">
    <cfRule type="expression" priority="11" dxfId="0">
      <formula>$N3="Critical"</formula>
    </cfRule>
    <cfRule type="expression" priority="12" dxfId="2">
      <formula>$N3="High"</formula>
    </cfRule>
  </conditionalFormatting>
  <conditionalFormatting sqref="S3:S500">
    <cfRule type="expression" priority="8" dxfId="0">
      <formula>$S3="No longer maintained"</formula>
    </cfRule>
    <cfRule type="expression" priority="9" dxfId="0">
      <formula>$S3="Abandoned"</formula>
    </cfRule>
    <cfRule type="expression" priority="10" dxfId="0">
      <formula>$S3="Unknown"</formula>
    </cfRule>
  </conditionalFormatting>
  <conditionalFormatting sqref="T3:T500">
    <cfRule type="expression" priority="2" dxfId="0">
      <formula>AND($T3&lt;&gt;"",$T3&lt;TODAY())</formula>
    </cfRule>
    <cfRule type="expression" priority="3" dxfId="2">
      <formula>AND($T3&lt;&gt;"",$T3&gt;=TODAY(),$T3-TODAY()&lt;=365)</formula>
    </cfRule>
  </conditionalFormatting>
  <conditionalFormatting sqref="V3:V500">
    <cfRule type="expression" priority="4" dxfId="0">
      <formula>AND(ISNUMBER(V3),V3&lt;0)</formula>
    </cfRule>
    <cfRule type="expression" priority="5" dxfId="2">
      <formula>AND(ISNUMBER(V3),V3&gt;=0,V3&lt;=365)</formula>
    </cfRule>
  </conditionalFormatting>
  <conditionalFormatting sqref="W3:W500">
    <cfRule type="expression" priority="6" dxfId="0">
      <formula>ISNUMBER(SEARCH("PAST EOS",W3))</formula>
    </cfRule>
    <cfRule type="expression" priority="7" dxfId="2">
      <formula>ISNUMBER(SEARCH("within 12",W3))</formula>
    </cfRule>
  </conditionalFormatting>
  <dataValidations count="13">
    <dataValidation sqref="E3:E500" showDropDown="0" showInputMessage="0" showErrorMessage="1" allowBlank="1" errorTitle="Invalid entry" error="Please choose a value from the drop-down list." type="list">
      <formula1>"CPE,PURL,SWID,OmniBOR,Other"</formula1>
      <formula2>0</formula2>
    </dataValidation>
    <dataValidation sqref="G3:G500" showDropDown="0" showInputMessage="0" showErrorMessage="1" allowBlank="1" errorTitle="Invalid entry" error="Please choose a value from the drop-down list." type="list">
      <formula1>"Direct,Transitive"</formula1>
      <formula2>0</formula2>
    </dataValidation>
    <dataValidation sqref="J3:J500" showDropDown="0" showInputMessage="0" showErrorMessage="1" allowBlank="1" errorTitle="Invalid entry" error="Please choose a value from the drop-down list." type="list">
      <formula1>"Application,Operating System,Library,Framework,Driver,Firmware,Middleware,Container/Image,Other"</formula1>
      <formula2>0</formula2>
    </dataValidation>
    <dataValidation sqref="K3:K500" showDropDown="0" showInputMessage="0" showErrorMessage="1" allowBlank="1" errorTitle="Invalid entry" error="Please choose a value from the drop-down list." type="list">
      <formula1>"Commercial (COTS),Open-Source (OSS),Off-the-Shelf (OTS),Proprietary / In-house,Other"</formula1>
      <formula2>0</formula2>
    </dataValidation>
    <dataValidation sqref="M3:M500" showDropDown="0" showInputMessage="0" showErrorMessage="1" allowBlank="1" errorTitle="Invalid entry" error="Please choose a value from the drop-down list." type="list">
      <formula1>"Runtime,Build-Time,Both"</formula1>
      <formula2>0</formula2>
    </dataValidation>
    <dataValidation sqref="N3:N500" showDropDown="0" showInputMessage="0" showErrorMessage="1" allowBlank="1" errorTitle="Invalid entry" error="Please choose a value from the drop-down list." type="list">
      <formula1>"Low,Medium,High,Critical"</formula1>
      <formula2>0</formula2>
    </dataValidation>
    <dataValidation sqref="O3:O500" showDropDown="0" showInputMessage="0" showErrorMessage="1" allowBlank="1" errorTitle="Invalid entry" error="Please choose a value from the drop-down list." type="list">
      <formula1>"None,Low,Medium,High"</formula1>
      <formula2>0</formula2>
    </dataValidation>
    <dataValidation sqref="P3:P500" showDropDown="0" showInputMessage="0" showErrorMessage="1" allowBlank="1" errorTitle="Invalid entry" error="Please choose a value from the drop-down list." type="list">
      <formula1>"None,Indirect,Direct"</formula1>
      <formula2>0</formula2>
    </dataValidation>
    <dataValidation sqref="Q3:Q500" showDropDown="0" showInputMessage="0" showErrorMessage="1" allowBlank="1" errorTitle="Invalid entry" error="Please choose a value from the drop-down list." type="list">
      <formula1>"Yes,No"</formula1>
      <formula2>0</formula2>
    </dataValidation>
    <dataValidation sqref="R3:R500" showDropDown="0" showInputMessage="0" showErrorMessage="1" allowBlank="1" errorTitle="Invalid entry" error="Please choose a value from the drop-down list." type="list">
      <formula1>"Yes,No,Depends on Deployment"</formula1>
      <formula2>0</formula2>
    </dataValidation>
    <dataValidation sqref="S3:S500" showDropDown="0" showInputMessage="0" showErrorMessage="1" allowBlank="1" errorTitle="Invalid entry" error="Please choose a value from the drop-down list." type="list">
      <formula1>"Actively maintained,No longer maintained,Abandoned,Unknown"</formula1>
      <formula2>0</formula2>
    </dataValidation>
    <dataValidation sqref="AA3:AA500" showDropDown="0" showInputMessage="0" showErrorMessage="1" allowBlank="1" errorTitle="Invalid entry" error="Please choose a value from the drop-down list." type="list">
      <formula1>"Signed &amp; Verified,Signed - Not Verified,Unsigned,Not Applicable"</formula1>
      <formula2>0</formula2>
    </dataValidation>
    <dataValidation sqref="T3:U500" showDropDown="0" showInputMessage="0" showErrorMessage="1" allowBlank="1" errorTitle="Invalid date" error="Enter a real date (YYYY-MM-DD)." type="date" operator="greaterThan">
      <formula1>DATE(1990,1,1)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showGridLines="0" zoomScaleNormal="100" workbookViewId="0">
      <pane xSplit="2" ySplit="2" topLeftCell="F3" activePane="bottomRight" state="frozen"/>
      <selection pane="bottomRight" activeCell="H6" sqref="H6"/>
      <selection pane="bottomLeft" activeCell="A3" sqref="A3"/>
      <selection pane="topRight" activeCell="C1" sqref="C1"/>
    </sheetView>
  </sheetViews>
  <sheetFormatPr baseColWidth="8" defaultColWidth="8.5703125" defaultRowHeight="14.45"/>
  <cols>
    <col width="6" customWidth="1" min="1" max="1"/>
    <col width="20" customWidth="1" min="2" max="2"/>
    <col width="22" customWidth="1" min="3" max="3"/>
    <col width="20" customWidth="1" min="4" max="4"/>
    <col width="22" customWidth="1" min="5" max="5"/>
    <col width="30" customWidth="1" min="6" max="6"/>
    <col width="18" customWidth="1" min="7" max="7"/>
    <col width="14" customWidth="1" min="8" max="9"/>
    <col width="26" customWidth="1" min="10" max="10"/>
    <col width="14" customWidth="1" min="11" max="11"/>
    <col width="28" customWidth="1" min="12" max="12"/>
  </cols>
  <sheetData>
    <row r="1" ht="30" customHeight="1">
      <c r="A1" s="23" t="inlineStr">
        <is>
          <t>OS / Container / Firmware / Third-Party Service Dependencies — components outside the application dependency tree that are still part of the device's attack surface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9" t="n"/>
    </row>
    <row r="2" ht="26.1" customHeight="1">
      <c r="A2" s="4" t="inlineStr">
        <is>
          <t>#</t>
        </is>
      </c>
      <c r="B2" s="4" t="inlineStr">
        <is>
          <t>Dependency Category</t>
        </is>
      </c>
      <c r="C2" s="4" t="inlineStr">
        <is>
          <t>Name</t>
        </is>
      </c>
      <c r="D2" s="4" t="inlineStr">
        <is>
          <t>Version / Tag / Digest</t>
        </is>
      </c>
      <c r="E2" s="4" t="inlineStr">
        <is>
          <t>Supplier / Vendor</t>
        </is>
      </c>
      <c r="F2" s="4" t="inlineStr">
        <is>
          <t>Unique Identifier (PURL / Image Digest / CPE)</t>
        </is>
      </c>
      <c r="G2" s="4" t="inlineStr">
        <is>
          <t>Level of Support</t>
        </is>
      </c>
      <c r="H2" s="4" t="inlineStr">
        <is>
          <t>EOS Date</t>
        </is>
      </c>
      <c r="I2" s="4" t="inlineStr">
        <is>
          <t>EOL Date</t>
        </is>
      </c>
      <c r="J2" s="4" t="inlineStr">
        <is>
          <t>Known Vulnerabilities</t>
        </is>
      </c>
      <c r="K2" s="4" t="inlineStr">
        <is>
          <t>Network Exposure</t>
        </is>
      </c>
      <c r="L2" s="4" t="inlineStr">
        <is>
          <t>Notes</t>
        </is>
      </c>
    </row>
    <row r="3" ht="26.1" customHeight="1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</sheetData>
  <mergeCells count="1">
    <mergeCell ref="A1:L1"/>
  </mergeCells>
  <conditionalFormatting sqref="H3:H500">
    <cfRule type="expression" priority="2" dxfId="0">
      <formula>AND($H3&lt;&gt;"",$H3&lt;TODAY())</formula>
    </cfRule>
    <cfRule type="expression" priority="3" dxfId="2">
      <formula>AND($H3&lt;&gt;"",$H3&gt;=TODAY(),$H3-TODAY()&lt;=365)</formula>
    </cfRule>
  </conditionalFormatting>
  <dataValidations count="4">
    <dataValidation sqref="B3:B500" showDropDown="0" showInputMessage="0" showErrorMessage="1" allowBlank="1" errorTitle="Invalid entry" error="Please choose a value from the drop-down list." type="list">
      <formula1>"Operating System,Container Base Image,Embedded Firmware,Third-Party Cloud Service,External API,Other Infrastructure"</formula1>
      <formula2>0</formula2>
    </dataValidation>
    <dataValidation sqref="G3:G500" showDropDown="0" showInputMessage="0" showErrorMessage="1" allowBlank="1" errorTitle="Invalid entry" error="Please choose a value from the drop-down list." type="list">
      <formula1>"Actively maintained,No longer maintained,Abandoned,Unknown"</formula1>
      <formula2>0</formula2>
    </dataValidation>
    <dataValidation sqref="K3:K500" showDropDown="0" showInputMessage="0" showErrorMessage="1" allowBlank="1" errorTitle="Invalid entry" error="Please choose a value from the drop-down list." type="list">
      <formula1>"None,Indirect,Direct"</formula1>
      <formula2>0</formula2>
    </dataValidation>
    <dataValidation sqref="H3:I500" showDropDown="0" showInputMessage="0" showErrorMessage="1" allowBlank="1" errorTitle="Invalid date" error="Enter a real date (YYYY-MM-DD)." type="date" operator="greaterThan">
      <formula1>DATE(1990,1,1)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0"/>
  <sheetViews>
    <sheetView showGridLines="0" zoomScaleNormal="100" workbookViewId="0">
      <pane xSplit="3" ySplit="2" topLeftCell="O3" activePane="bottomRight" state="frozen"/>
      <selection pane="bottomRight" activeCell="O4" sqref="O4"/>
      <selection pane="bottomLeft" activeCell="A3" sqref="A3"/>
      <selection pane="topRight" activeCell="D1" sqref="D1"/>
    </sheetView>
  </sheetViews>
  <sheetFormatPr baseColWidth="8" defaultColWidth="8.5703125" defaultRowHeight="14.45"/>
  <cols>
    <col width="6" customWidth="1" min="1" max="1"/>
    <col width="20" customWidth="1" min="2" max="2"/>
    <col width="14" customWidth="1" min="3" max="3"/>
    <col width="20" customWidth="1" min="4" max="4"/>
    <col width="11" customWidth="1" min="5" max="5"/>
    <col width="12" customWidth="1" min="6" max="6"/>
    <col width="22" customWidth="1" min="7" max="7"/>
    <col width="11" customWidth="1" min="8" max="9"/>
    <col width="13" customWidth="1" min="10" max="10"/>
    <col width="16" customWidth="1" min="11" max="11"/>
    <col width="30" customWidth="1" min="12" max="12"/>
    <col width="15" customWidth="1" min="13" max="13"/>
    <col width="20" customWidth="1" min="14" max="14"/>
    <col width="30" customWidth="1" min="15" max="15"/>
    <col width="20" customWidth="1" min="16" max="16"/>
    <col width="16" customWidth="1" min="17" max="17"/>
    <col width="14" customWidth="1" min="18" max="19"/>
    <col width="26" customWidth="1" min="20" max="20"/>
  </cols>
  <sheetData>
    <row r="1" ht="30" customHeight="1">
      <c r="A1" s="23" t="inlineStr">
        <is>
          <t>Identification</t>
        </is>
      </c>
      <c r="B1" s="28" t="n"/>
      <c r="C1" s="28" t="n"/>
      <c r="D1" s="29" t="n"/>
      <c r="E1" s="23" t="inlineStr">
        <is>
          <t>Severity Scoring</t>
        </is>
      </c>
      <c r="F1" s="28" t="n"/>
      <c r="G1" s="28" t="n"/>
      <c r="H1" s="29" t="n"/>
      <c r="I1" s="23" t="inlineStr">
        <is>
          <t>Threat Intelligence</t>
        </is>
      </c>
      <c r="J1" s="29" t="n"/>
      <c r="K1" s="23" t="inlineStr">
        <is>
          <t>VEX &amp; Safety Assessment</t>
        </is>
      </c>
      <c r="L1" s="28" t="n"/>
      <c r="M1" s="28" t="n"/>
      <c r="N1" s="29" t="n"/>
      <c r="O1" s="23" t="inlineStr">
        <is>
          <t>Remediation Plan</t>
        </is>
      </c>
      <c r="P1" s="28" t="n"/>
      <c r="Q1" s="28" t="n"/>
      <c r="R1" s="29" t="n"/>
      <c r="S1" s="23" t="inlineStr">
        <is>
          <t>Status &amp; Notes</t>
        </is>
      </c>
      <c r="T1" s="29" t="n"/>
      <c r="U1" s="8" t="inlineStr">
        <is>
          <t>Total vulns (auto)</t>
        </is>
      </c>
      <c r="V1" s="8">
        <f>COUNTA(D3:D500)</f>
        <v/>
      </c>
    </row>
    <row r="2" ht="39.75" customHeight="1">
      <c r="A2" s="4" t="inlineStr">
        <is>
          <t>#</t>
        </is>
      </c>
      <c r="B2" s="4" t="inlineStr">
        <is>
          <t>Component Name</t>
        </is>
      </c>
      <c r="C2" s="4" t="inlineStr">
        <is>
          <t>Component Version</t>
        </is>
      </c>
      <c r="D2" s="4" t="inlineStr">
        <is>
          <t>Vulnerability ID (CVE/GHSA)</t>
        </is>
      </c>
      <c r="E2" s="4" t="inlineStr">
        <is>
          <t>CVSS Version</t>
        </is>
      </c>
      <c r="F2" s="4" t="inlineStr">
        <is>
          <t>CVSS Base Score</t>
        </is>
      </c>
      <c r="G2" s="4" t="inlineStr">
        <is>
          <t>CVSS Vector</t>
        </is>
      </c>
      <c r="H2" s="4" t="inlineStr">
        <is>
          <t>Severity</t>
        </is>
      </c>
      <c r="I2" s="4" t="inlineStr">
        <is>
          <t>EPSS Score</t>
        </is>
      </c>
      <c r="J2" s="4" t="inlineStr">
        <is>
          <t>CISA KEV Status</t>
        </is>
      </c>
      <c r="K2" s="4" t="inlineStr">
        <is>
          <t>VEX Status</t>
        </is>
      </c>
      <c r="L2" s="4" t="inlineStr">
        <is>
          <t>VEX Justification</t>
        </is>
      </c>
      <c r="M2" s="4" t="inlineStr">
        <is>
          <t>Patient Safety / Clinical Impact</t>
        </is>
      </c>
      <c r="N2" s="4" t="inlineStr">
        <is>
          <t>Exploitability</t>
        </is>
      </c>
      <c r="O2" s="4" t="inlineStr">
        <is>
          <t>Remediation / Mitigation Plan</t>
        </is>
      </c>
      <c r="P2" s="4" t="inlineStr">
        <is>
          <t>Fixed / Target Version(s)</t>
        </is>
      </c>
      <c r="Q2" s="4" t="inlineStr">
        <is>
          <t>Remediation Owner</t>
        </is>
      </c>
      <c r="R2" s="4" t="inlineStr">
        <is>
          <t>Target / Resolution Date</t>
        </is>
      </c>
      <c r="S2" s="4" t="inlineStr">
        <is>
          <t>Status</t>
        </is>
      </c>
      <c r="T2" s="4" t="inlineStr">
        <is>
          <t>Notes</t>
        </is>
      </c>
      <c r="U2" s="8" t="inlineStr">
        <is>
          <t>Open Crit/High (auto)</t>
        </is>
      </c>
      <c r="V2" s="8">
        <f>COUNTIFS(H3:H500,"Critical",S3:S500,"Open")+COUNTIFS(H3:H500,"High",S3:S500,"Open")</f>
        <v/>
      </c>
    </row>
    <row r="3" ht="26.1" customHeight="1">
      <c r="A3" s="9" t="n">
        <v>1</v>
      </c>
      <c r="B3" s="9" t="inlineStr">
        <is>
          <t>lodash</t>
        </is>
      </c>
      <c r="C3" s="9" t="inlineStr">
        <is>
          <t>4.17.20</t>
        </is>
      </c>
      <c r="D3" s="9" t="inlineStr">
        <is>
          <t>CVE-2020-28500</t>
        </is>
      </c>
      <c r="E3" s="9" t="inlineStr">
        <is>
          <t>3.1</t>
        </is>
      </c>
      <c r="F3" s="9" t="n">
        <v>5.3</v>
      </c>
      <c r="G3" s="9" t="inlineStr">
        <is>
          <t>CVSS:3.1/AV:N/AC:L/PR:N/UI:N/S:U/C:N/I:N/A:L</t>
        </is>
      </c>
      <c r="H3" s="9" t="inlineStr">
        <is>
          <t>Medium</t>
        </is>
      </c>
      <c r="I3" s="9" t="n">
        <v>0.07335999999999999</v>
      </c>
      <c r="J3" s="9" t="inlineStr">
        <is>
          <t>No</t>
        </is>
      </c>
      <c r="K3" s="9" t="inlineStr">
        <is>
          <t>Under Investigation</t>
        </is>
      </c>
      <c r="L3" s="9" t="inlineStr"/>
      <c r="M3" s="9" t="inlineStr"/>
      <c r="N3" s="9" t="inlineStr"/>
      <c r="O3" s="9" t="inlineStr"/>
      <c r="P3" s="9" t="inlineStr">
        <is>
          <t>4.17.21</t>
        </is>
      </c>
      <c r="Q3" s="9" t="inlineStr"/>
      <c r="R3" s="9" t="n"/>
      <c r="S3" s="9" t="inlineStr">
        <is>
          <t>Open</t>
        </is>
      </c>
      <c r="T3" s="9" t="inlineStr">
        <is>
          <t>OSV</t>
        </is>
      </c>
      <c r="U3" s="8" t="n"/>
      <c r="V3" s="8">
        <f>COUNTIFS(D3:D500,"&lt;&gt;",L3:L500,"")</f>
        <v/>
      </c>
    </row>
    <row r="4">
      <c r="A4" s="10" t="n">
        <v>2</v>
      </c>
      <c r="B4" s="10" t="inlineStr">
        <is>
          <t>lodash</t>
        </is>
      </c>
      <c r="C4" s="10" t="inlineStr">
        <is>
          <t>4.17.20</t>
        </is>
      </c>
      <c r="D4" s="10" t="inlineStr">
        <is>
          <t>CVE-2021-23337</t>
        </is>
      </c>
      <c r="E4" s="10" t="inlineStr">
        <is>
          <t>3.1</t>
        </is>
      </c>
      <c r="F4" s="10" t="n">
        <v>7.2</v>
      </c>
      <c r="G4" s="10" t="inlineStr">
        <is>
          <t>CVSS:3.1/AV:N/AC:L/PR:H/UI:N/S:U/C:H/I:H/A:H</t>
        </is>
      </c>
      <c r="H4" s="10" t="inlineStr">
        <is>
          <t>High</t>
        </is>
      </c>
      <c r="I4" s="10" t="n"/>
      <c r="J4" s="10" t="inlineStr">
        <is>
          <t>No</t>
        </is>
      </c>
      <c r="K4" s="10" t="inlineStr">
        <is>
          <t>Under Investigation</t>
        </is>
      </c>
      <c r="L4" s="10" t="inlineStr"/>
      <c r="M4" s="10" t="inlineStr"/>
      <c r="N4" s="10" t="inlineStr"/>
      <c r="O4" s="10" t="inlineStr"/>
      <c r="P4" s="10" t="inlineStr">
        <is>
          <t>4.17.21</t>
        </is>
      </c>
      <c r="Q4" s="10" t="inlineStr"/>
      <c r="R4" s="10" t="n"/>
      <c r="S4" s="10" t="inlineStr">
        <is>
          <t>Open</t>
        </is>
      </c>
      <c r="T4" s="10" t="inlineStr">
        <is>
          <t>OSV</t>
        </is>
      </c>
      <c r="U4" s="8" t="n"/>
      <c r="V4" s="8">
        <f>COUNTIF(K3:K500,"Under Investigation")</f>
        <v/>
      </c>
    </row>
    <row r="5">
      <c r="A5" s="10" t="n">
        <v>3</v>
      </c>
      <c r="B5" s="10" t="inlineStr">
        <is>
          <t>lodash</t>
        </is>
      </c>
      <c r="C5" s="10" t="inlineStr">
        <is>
          <t>4.17.20</t>
        </is>
      </c>
      <c r="D5" s="10" t="inlineStr">
        <is>
          <t>CVE-2025-13465</t>
        </is>
      </c>
      <c r="E5" s="10" t="inlineStr">
        <is>
          <t>3.1</t>
        </is>
      </c>
      <c r="F5" s="10" t="n">
        <v>6.5</v>
      </c>
      <c r="G5" s="10" t="inlineStr">
        <is>
          <t>CVSS:3.1/AV:N/AC:L/PR:N/UI:N/S:U/C:N/I:L/A:L</t>
        </is>
      </c>
      <c r="H5" s="10" t="inlineStr">
        <is>
          <t>Medium</t>
        </is>
      </c>
      <c r="I5" s="10" t="n"/>
      <c r="J5" s="10" t="inlineStr">
        <is>
          <t>No</t>
        </is>
      </c>
      <c r="K5" s="10" t="inlineStr">
        <is>
          <t>Under Investigation</t>
        </is>
      </c>
      <c r="L5" s="10" t="inlineStr"/>
      <c r="M5" s="10" t="inlineStr"/>
      <c r="N5" s="10" t="inlineStr"/>
      <c r="O5" s="10" t="inlineStr"/>
      <c r="P5" s="10" t="inlineStr">
        <is>
          <t>4.17.23</t>
        </is>
      </c>
      <c r="Q5" s="10" t="inlineStr"/>
      <c r="R5" s="10" t="n"/>
      <c r="S5" s="10" t="inlineStr">
        <is>
          <t>Open</t>
        </is>
      </c>
      <c r="T5" s="10" t="inlineStr">
        <is>
          <t>OSV</t>
        </is>
      </c>
      <c r="U5" s="8" t="n"/>
      <c r="V5" s="8">
        <f>COUNTIFS(D3:D500,"&lt;&gt;",F3:F500,"")</f>
        <v/>
      </c>
    </row>
    <row r="6">
      <c r="A6" s="10" t="n">
        <v>4</v>
      </c>
      <c r="B6" s="10" t="inlineStr">
        <is>
          <t>lodash</t>
        </is>
      </c>
      <c r="C6" s="10" t="inlineStr">
        <is>
          <t>4.17.20</t>
        </is>
      </c>
      <c r="D6" s="10" t="inlineStr">
        <is>
          <t>CVE-2026-2950</t>
        </is>
      </c>
      <c r="E6" s="10" t="inlineStr">
        <is>
          <t>3.1</t>
        </is>
      </c>
      <c r="F6" s="10" t="n">
        <v>6.5</v>
      </c>
      <c r="G6" s="10" t="inlineStr">
        <is>
          <t>CVSS:3.1/AV:N/AC:L/PR:N/UI:N/S:U/C:N/I:L/A:L</t>
        </is>
      </c>
      <c r="H6" s="10" t="inlineStr">
        <is>
          <t>Medium</t>
        </is>
      </c>
      <c r="I6" s="10" t="n"/>
      <c r="J6" s="10" t="inlineStr">
        <is>
          <t>No</t>
        </is>
      </c>
      <c r="K6" s="10" t="inlineStr">
        <is>
          <t>Under Investigation</t>
        </is>
      </c>
      <c r="L6" s="10" t="inlineStr"/>
      <c r="M6" s="10" t="inlineStr"/>
      <c r="N6" s="10" t="inlineStr"/>
      <c r="O6" s="10" t="inlineStr"/>
      <c r="P6" s="10" t="inlineStr">
        <is>
          <t>4.18.0</t>
        </is>
      </c>
      <c r="Q6" s="10" t="inlineStr"/>
      <c r="R6" s="10" t="n"/>
      <c r="S6" s="10" t="inlineStr">
        <is>
          <t>Open</t>
        </is>
      </c>
      <c r="T6" s="10" t="inlineStr">
        <is>
          <t>OSV</t>
        </is>
      </c>
      <c r="U6" s="8" t="n"/>
      <c r="V6" s="8">
        <f>COUNTIFS(D3:D500,"&lt;&gt;",R3:R500,"")</f>
        <v/>
      </c>
    </row>
    <row r="7">
      <c r="A7" s="10" t="n">
        <v>5</v>
      </c>
      <c r="B7" s="10" t="inlineStr">
        <is>
          <t>lodash</t>
        </is>
      </c>
      <c r="C7" s="10" t="inlineStr">
        <is>
          <t>4.17.20</t>
        </is>
      </c>
      <c r="D7" s="10" t="inlineStr">
        <is>
          <t>CVE-2026-4800</t>
        </is>
      </c>
      <c r="E7" s="10" t="inlineStr">
        <is>
          <t>3.1</t>
        </is>
      </c>
      <c r="F7" s="10" t="n">
        <v>8.1</v>
      </c>
      <c r="G7" s="10" t="inlineStr">
        <is>
          <t>CVSS:3.1/AV:N/AC:H/PR:N/UI:N/S:U/C:H/I:H/A:H</t>
        </is>
      </c>
      <c r="H7" s="10" t="inlineStr">
        <is>
          <t>High</t>
        </is>
      </c>
      <c r="I7" s="10" t="n"/>
      <c r="J7" s="10" t="inlineStr">
        <is>
          <t>No</t>
        </is>
      </c>
      <c r="K7" s="10" t="inlineStr">
        <is>
          <t>Under Investigation</t>
        </is>
      </c>
      <c r="L7" s="10" t="inlineStr"/>
      <c r="M7" s="10" t="inlineStr"/>
      <c r="N7" s="10" t="inlineStr"/>
      <c r="O7" s="10" t="inlineStr"/>
      <c r="P7" s="10" t="inlineStr">
        <is>
          <t>4.18.0</t>
        </is>
      </c>
      <c r="Q7" s="10" t="inlineStr"/>
      <c r="R7" s="10" t="n"/>
      <c r="S7" s="10" t="inlineStr">
        <is>
          <t>Open</t>
        </is>
      </c>
      <c r="T7" s="10" t="inlineStr">
        <is>
          <t>OSV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</row>
  </sheetData>
  <mergeCells count="6">
    <mergeCell ref="I1:J1"/>
    <mergeCell ref="A1:D1"/>
    <mergeCell ref="S1:T1"/>
    <mergeCell ref="E1:H1"/>
    <mergeCell ref="K1:N1"/>
    <mergeCell ref="O1:R1"/>
  </mergeCells>
  <conditionalFormatting sqref="A3:T500">
    <cfRule type="expression" priority="7" dxfId="0">
      <formula>AND($R3&lt;&gt;"",$R3&lt;TODAY(),$S3&lt;&gt;"Resolved")</formula>
    </cfRule>
  </conditionalFormatting>
  <conditionalFormatting sqref="H3:H500">
    <cfRule type="expression" priority="2" dxfId="0">
      <formula>$H3="Critical"</formula>
    </cfRule>
    <cfRule type="expression" priority="3" dxfId="2">
      <formula>$H3="High"</formula>
    </cfRule>
  </conditionalFormatting>
  <conditionalFormatting sqref="J3:J500">
    <cfRule type="expression" priority="6" dxfId="0">
      <formula>$J3="Yes"</formula>
    </cfRule>
  </conditionalFormatting>
  <conditionalFormatting sqref="K3:K500">
    <cfRule type="expression" priority="4" dxfId="2">
      <formula>$K3="Under Investigation"</formula>
    </cfRule>
  </conditionalFormatting>
  <conditionalFormatting sqref="S3:S500">
    <cfRule type="expression" priority="5" dxfId="2">
      <formula>$S3="Open"</formula>
    </cfRule>
  </conditionalFormatting>
  <dataValidations count="9">
    <dataValidation sqref="E3:E500" showDropDown="0" showInputMessage="0" showErrorMessage="1" allowBlank="1" errorTitle="Invalid entry" error="Please choose a value from the drop-down list." type="list">
      <formula1>"2.0,3.0,3.1,4.0"</formula1>
      <formula2>0</formula2>
    </dataValidation>
    <dataValidation sqref="H3:H500" showDropDown="0" showInputMessage="0" showErrorMessage="1" allowBlank="1" errorTitle="Invalid entry" error="Please choose a value from the drop-down list." type="list">
      <formula1>"Critical,High,Medium,Low,None"</formula1>
      <formula2>0</formula2>
    </dataValidation>
    <dataValidation sqref="J3:J500" showDropDown="0" showInputMessage="0" showErrorMessage="1" allowBlank="1" errorTitle="Invalid entry" error="Please choose a value from the drop-down list." type="list">
      <formula1>"Yes,No,Unknown"</formula1>
      <formula2>0</formula2>
    </dataValidation>
    <dataValidation sqref="K3:K500" showDropDown="0" showInputMessage="0" showErrorMessage="1" allowBlank="1" errorTitle="Invalid entry" error="Please choose a value from the drop-down list." type="list">
      <formula1>"Not Affected,Affected,Fixed,Under Investigation"</formula1>
      <formula2>0</formula2>
    </dataValidation>
    <dataValidation sqref="L3:L500" showDropDown="0" showInputMessage="1" showErrorMessage="1" allowBlank="1" errorTitle="Invalid entry" error="Please choose a value from the drop-down list." prompt="Required by FDA/VEX convention when VEX Status = Not Affected or Fixed." type="list">
      <formula1>"component_not_present,vulnerable_code_not_present,vulnerable_code_not_in_execute_path,vulnerable_code_cannot_be_controlled_by_adversary,inline_mitigations_already_exist"</formula1>
      <formula2>0</formula2>
    </dataValidation>
    <dataValidation sqref="M3:M500" showDropDown="0" showInputMessage="0" showErrorMessage="1" allowBlank="1" errorTitle="Invalid entry" error="Please choose a value from the drop-down list." type="list">
      <formula1>"None,Low,Medium,High,Critical"</formula1>
      <formula2>0</formula2>
    </dataValidation>
    <dataValidation sqref="N3:N500" showDropDown="0" showInputMessage="0" showErrorMessage="1" allowBlank="1" errorTitle="Invalid entry" error="Please choose a value from the drop-down list." type="list">
      <formula1>"Actively Exploited (CISA KEV),Public PoC Available,Weaponized,Theoretical,None Known"</formula1>
      <formula2>0</formula2>
    </dataValidation>
    <dataValidation sqref="S3:S500" showDropDown="0" showInputMessage="0" showErrorMessage="1" allowBlank="1" errorTitle="Invalid entry" error="Please choose a value from the drop-down list." type="list">
      <formula1>"Open,In Progress,Resolved,Risk Accepted"</formula1>
      <formula2>0</formula2>
    </dataValidation>
    <dataValidation sqref="R3:R500" showDropDown="0" showInputMessage="0" showErrorMessage="1" allowBlank="1" errorTitle="Invalid date" error="Enter a real date (YYYY-MM-DD)." type="date" operator="greaterThan">
      <formula1>DATE(1990,1,1)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0"/>
  <sheetViews>
    <sheetView showGridLines="0" zoomScaleNormal="100" workbookViewId="0">
      <pane xSplit="2" ySplit="2" topLeftCell="C3" activePane="bottomRight" state="frozen"/>
      <selection pane="bottomRight" activeCell="B7" sqref="B7"/>
      <selection pane="bottomLeft" activeCell="A3" sqref="A3"/>
      <selection pane="topRight" activeCell="C1" sqref="C1"/>
    </sheetView>
  </sheetViews>
  <sheetFormatPr baseColWidth="8" defaultColWidth="8.5703125" defaultRowHeight="14.45"/>
  <cols>
    <col width="6" customWidth="1" min="1" max="1"/>
    <col width="20" customWidth="1" min="2" max="2"/>
    <col width="12" customWidth="1" min="3" max="3"/>
    <col width="22" customWidth="1" min="4" max="4"/>
    <col width="18" customWidth="1" min="5" max="5"/>
    <col width="13" customWidth="1" min="6" max="7"/>
    <col width="11" customWidth="1" min="8" max="8"/>
    <col width="14" customWidth="1" min="9" max="9"/>
    <col width="28" customWidth="1" min="10" max="10"/>
    <col width="26" customWidth="1" min="11" max="11"/>
    <col width="22" customWidth="1" min="12" max="12"/>
    <col width="18" customWidth="1" min="13" max="13"/>
    <col width="14" customWidth="1" min="14" max="15"/>
  </cols>
  <sheetData>
    <row r="1" ht="30" customHeight="1">
      <c r="A1" s="23" t="inlineStr">
        <is>
          <t>End-of-Support / End-of-Life Planning — for every component near/past EOS or whose support status is unverified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9" t="n"/>
    </row>
    <row r="2" ht="26.1" customHeight="1">
      <c r="A2" s="4" t="inlineStr">
        <is>
          <t>#</t>
        </is>
      </c>
      <c r="B2" s="4" t="inlineStr">
        <is>
          <t>Component Name</t>
        </is>
      </c>
      <c r="C2" s="4" t="inlineStr">
        <is>
          <t>Version</t>
        </is>
      </c>
      <c r="D2" s="4" t="inlineStr">
        <is>
          <t>Supplier</t>
        </is>
      </c>
      <c r="E2" s="4" t="inlineStr">
        <is>
          <t>Support Level</t>
        </is>
      </c>
      <c r="F2" s="4" t="inlineStr">
        <is>
          <t>EOS Date</t>
        </is>
      </c>
      <c r="G2" s="4" t="inlineStr">
        <is>
          <t>EOL Date</t>
        </is>
      </c>
      <c r="H2" s="4" t="inlineStr">
        <is>
          <t>Days to EOS</t>
        </is>
      </c>
      <c r="I2" s="4" t="inlineStr">
        <is>
          <t>Risk if Unsupported</t>
        </is>
      </c>
      <c r="J2" s="4" t="inlineStr">
        <is>
          <t>Mitigation / Replacement Plan</t>
        </is>
      </c>
      <c r="K2" s="4" t="inlineStr">
        <is>
          <t>Compensating Controls</t>
        </is>
      </c>
      <c r="L2" s="4" t="inlineStr">
        <is>
          <t>Verification Method</t>
        </is>
      </c>
      <c r="M2" s="4" t="inlineStr">
        <is>
          <t>Owner / Responsible</t>
        </is>
      </c>
      <c r="N2" s="4" t="inlineStr">
        <is>
          <t>Target Action Date</t>
        </is>
      </c>
      <c r="O2" s="4" t="inlineStr">
        <is>
          <t>Status</t>
        </is>
      </c>
    </row>
    <row r="3" ht="26.1" customHeight="1">
      <c r="A3" s="9" t="n"/>
      <c r="B3" s="9" t="n"/>
      <c r="C3" s="9" t="n"/>
      <c r="D3" s="9" t="n"/>
      <c r="E3" s="9" t="n"/>
      <c r="F3" s="9" t="n"/>
      <c r="G3" s="9" t="n"/>
      <c r="H3" s="9">
        <f>IF(F3="","",F3-TODAY())</f>
        <v/>
      </c>
      <c r="I3" s="9" t="n"/>
      <c r="J3" s="9" t="n"/>
      <c r="K3" s="9" t="n"/>
      <c r="L3" s="9" t="n"/>
      <c r="M3" s="9" t="n"/>
      <c r="N3" s="9" t="n"/>
      <c r="O3" s="9" t="n"/>
    </row>
    <row r="4">
      <c r="A4" s="10" t="n"/>
      <c r="B4" s="10" t="n"/>
      <c r="C4" s="10" t="n"/>
      <c r="D4" s="10" t="n"/>
      <c r="E4" s="10" t="n"/>
      <c r="F4" s="10" t="n"/>
      <c r="G4" s="10" t="n"/>
      <c r="H4" s="10">
        <f>IF(F4="","",F4-TODAY())</f>
        <v/>
      </c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>
        <f>IF(F5="","",F5-TODAY())</f>
        <v/>
      </c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>
        <f>IF(F6="","",F6-TODAY())</f>
        <v/>
      </c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>
        <f>IF(F7="","",F7-TODAY())</f>
        <v/>
      </c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>
        <f>IF(F8="","",F8-TODAY())</f>
        <v/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>
        <f>IF(F9="","",F9-TODAY())</f>
        <v/>
      </c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>
        <f>IF(F10="","",F10-TODAY())</f>
        <v/>
      </c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>
        <f>IF(F11="","",F11-TODAY())</f>
        <v/>
      </c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>
        <f>IF(F12="","",F12-TODAY())</f>
        <v/>
      </c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>
        <f>IF(F13="","",F13-TODAY())</f>
        <v/>
      </c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>
        <f>IF(F14="","",F14-TODAY())</f>
        <v/>
      </c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>
        <f>IF(F15="","",F15-TODAY())</f>
        <v/>
      </c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>
        <f>IF(F16="","",F16-TODAY())</f>
        <v/>
      </c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>
        <f>IF(F17="","",F17-TODAY())</f>
        <v/>
      </c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>
        <f>IF(F18="","",F18-TODAY())</f>
        <v/>
      </c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>
        <f>IF(F19="","",F19-TODAY())</f>
        <v/>
      </c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>
        <f>IF(F20="","",F20-TODAY())</f>
        <v/>
      </c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>
        <f>IF(F21="","",F21-TODAY())</f>
        <v/>
      </c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>
        <f>IF(F22="","",F22-TODAY())</f>
        <v/>
      </c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>
        <f>IF(F23="","",F23-TODAY())</f>
        <v/>
      </c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>
        <f>IF(F24="","",F24-TODAY())</f>
        <v/>
      </c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>
        <f>IF(F25="","",F25-TODAY())</f>
        <v/>
      </c>
      <c r="I25" s="10" t="n"/>
      <c r="J25" s="10" t="n"/>
      <c r="K25" s="10" t="n"/>
      <c r="L25" s="10" t="n"/>
      <c r="M25" s="10" t="n"/>
      <c r="N25" s="10" t="n"/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>
        <f>IF(F26="","",F26-TODAY())</f>
        <v/>
      </c>
      <c r="I26" s="10" t="n"/>
      <c r="J26" s="10" t="n"/>
      <c r="K26" s="10" t="n"/>
      <c r="L26" s="10" t="n"/>
      <c r="M26" s="10" t="n"/>
      <c r="N26" s="10" t="n"/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>
        <f>IF(F27="","",F27-TODAY())</f>
        <v/>
      </c>
      <c r="I27" s="10" t="n"/>
      <c r="J27" s="10" t="n"/>
      <c r="K27" s="10" t="n"/>
      <c r="L27" s="10" t="n"/>
      <c r="M27" s="10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>
        <f>IF(F28="","",F28-TODAY())</f>
        <v/>
      </c>
      <c r="I28" s="10" t="n"/>
      <c r="J28" s="10" t="n"/>
      <c r="K28" s="10" t="n"/>
      <c r="L28" s="10" t="n"/>
      <c r="M28" s="10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>
        <f>IF(F29="","",F29-TODAY())</f>
        <v/>
      </c>
      <c r="I29" s="10" t="n"/>
      <c r="J29" s="10" t="n"/>
      <c r="K29" s="10" t="n"/>
      <c r="L29" s="10" t="n"/>
      <c r="M29" s="10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>
        <f>IF(F30="","",F30-TODAY())</f>
        <v/>
      </c>
      <c r="I30" s="10" t="n"/>
      <c r="J30" s="10" t="n"/>
      <c r="K30" s="10" t="n"/>
      <c r="L30" s="10" t="n"/>
      <c r="M30" s="10" t="n"/>
      <c r="N30" s="10" t="n"/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>
        <f>IF(F31="","",F31-TODAY())</f>
        <v/>
      </c>
      <c r="I31" s="10" t="n"/>
      <c r="J31" s="10" t="n"/>
      <c r="K31" s="10" t="n"/>
      <c r="L31" s="10" t="n"/>
      <c r="M31" s="10" t="n"/>
      <c r="N31" s="10" t="n"/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>
        <f>IF(F32="","",F32-TODAY())</f>
        <v/>
      </c>
      <c r="I32" s="10" t="n"/>
      <c r="J32" s="10" t="n"/>
      <c r="K32" s="10" t="n"/>
      <c r="L32" s="10" t="n"/>
      <c r="M32" s="10" t="n"/>
      <c r="N32" s="10" t="n"/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>
        <f>IF(F33="","",F33-TODAY())</f>
        <v/>
      </c>
      <c r="I33" s="10" t="n"/>
      <c r="J33" s="10" t="n"/>
      <c r="K33" s="10" t="n"/>
      <c r="L33" s="10" t="n"/>
      <c r="M33" s="10" t="n"/>
      <c r="N33" s="10" t="n"/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>
        <f>IF(F34="","",F34-TODAY())</f>
        <v/>
      </c>
      <c r="I34" s="10" t="n"/>
      <c r="J34" s="10" t="n"/>
      <c r="K34" s="10" t="n"/>
      <c r="L34" s="10" t="n"/>
      <c r="M34" s="10" t="n"/>
      <c r="N34" s="10" t="n"/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>
        <f>IF(F35="","",F35-TODAY())</f>
        <v/>
      </c>
      <c r="I35" s="10" t="n"/>
      <c r="J35" s="10" t="n"/>
      <c r="K35" s="10" t="n"/>
      <c r="L35" s="10" t="n"/>
      <c r="M35" s="10" t="n"/>
      <c r="N35" s="10" t="n"/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>
        <f>IF(F36="","",F36-TODAY())</f>
        <v/>
      </c>
      <c r="I36" s="10" t="n"/>
      <c r="J36" s="10" t="n"/>
      <c r="K36" s="10" t="n"/>
      <c r="L36" s="10" t="n"/>
      <c r="M36" s="10" t="n"/>
      <c r="N36" s="10" t="n"/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>
        <f>IF(F37="","",F37-TODAY())</f>
        <v/>
      </c>
      <c r="I37" s="10" t="n"/>
      <c r="J37" s="10" t="n"/>
      <c r="K37" s="10" t="n"/>
      <c r="L37" s="10" t="n"/>
      <c r="M37" s="10" t="n"/>
      <c r="N37" s="10" t="n"/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>
        <f>IF(F38="","",F38-TODAY())</f>
        <v/>
      </c>
      <c r="I38" s="10" t="n"/>
      <c r="J38" s="10" t="n"/>
      <c r="K38" s="10" t="n"/>
      <c r="L38" s="10" t="n"/>
      <c r="M38" s="10" t="n"/>
      <c r="N38" s="10" t="n"/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>
        <f>IF(F39="","",F39-TODAY())</f>
        <v/>
      </c>
      <c r="I39" s="10" t="n"/>
      <c r="J39" s="10" t="n"/>
      <c r="K39" s="10" t="n"/>
      <c r="L39" s="10" t="n"/>
      <c r="M39" s="10" t="n"/>
      <c r="N39" s="10" t="n"/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>
        <f>IF(F40="","",F40-TODAY())</f>
        <v/>
      </c>
      <c r="I40" s="10" t="n"/>
      <c r="J40" s="10" t="n"/>
      <c r="K40" s="10" t="n"/>
      <c r="L40" s="10" t="n"/>
      <c r="M40" s="10" t="n"/>
      <c r="N40" s="10" t="n"/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>
        <f>IF(F41="","",F41-TODAY())</f>
        <v/>
      </c>
      <c r="I41" s="10" t="n"/>
      <c r="J41" s="10" t="n"/>
      <c r="K41" s="10" t="n"/>
      <c r="L41" s="10" t="n"/>
      <c r="M41" s="10" t="n"/>
      <c r="N41" s="10" t="n"/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>
        <f>IF(F42="","",F42-TODAY())</f>
        <v/>
      </c>
      <c r="I42" s="10" t="n"/>
      <c r="J42" s="10" t="n"/>
      <c r="K42" s="10" t="n"/>
      <c r="L42" s="10" t="n"/>
      <c r="M42" s="10" t="n"/>
      <c r="N42" s="10" t="n"/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>
        <f>IF(F43="","",F43-TODAY())</f>
        <v/>
      </c>
      <c r="I43" s="10" t="n"/>
      <c r="J43" s="10" t="n"/>
      <c r="K43" s="10" t="n"/>
      <c r="L43" s="10" t="n"/>
      <c r="M43" s="10" t="n"/>
      <c r="N43" s="10" t="n"/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>
        <f>IF(F44="","",F44-TODAY())</f>
        <v/>
      </c>
      <c r="I44" s="10" t="n"/>
      <c r="J44" s="10" t="n"/>
      <c r="K44" s="10" t="n"/>
      <c r="L44" s="10" t="n"/>
      <c r="M44" s="10" t="n"/>
      <c r="N44" s="10" t="n"/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>
        <f>IF(F45="","",F45-TODAY())</f>
        <v/>
      </c>
      <c r="I45" s="10" t="n"/>
      <c r="J45" s="10" t="n"/>
      <c r="K45" s="10" t="n"/>
      <c r="L45" s="10" t="n"/>
      <c r="M45" s="10" t="n"/>
      <c r="N45" s="10" t="n"/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>
        <f>IF(F46="","",F46-TODAY())</f>
        <v/>
      </c>
      <c r="I46" s="10" t="n"/>
      <c r="J46" s="10" t="n"/>
      <c r="K46" s="10" t="n"/>
      <c r="L46" s="10" t="n"/>
      <c r="M46" s="10" t="n"/>
      <c r="N46" s="10" t="n"/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>
        <f>IF(F47="","",F47-TODAY())</f>
        <v/>
      </c>
      <c r="I47" s="10" t="n"/>
      <c r="J47" s="10" t="n"/>
      <c r="K47" s="10" t="n"/>
      <c r="L47" s="10" t="n"/>
      <c r="M47" s="10" t="n"/>
      <c r="N47" s="10" t="n"/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>
        <f>IF(F48="","",F48-TODAY())</f>
        <v/>
      </c>
      <c r="I48" s="10" t="n"/>
      <c r="J48" s="10" t="n"/>
      <c r="K48" s="10" t="n"/>
      <c r="L48" s="10" t="n"/>
      <c r="M48" s="10" t="n"/>
      <c r="N48" s="10" t="n"/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>
        <f>IF(F49="","",F49-TODAY())</f>
        <v/>
      </c>
      <c r="I49" s="10" t="n"/>
      <c r="J49" s="10" t="n"/>
      <c r="K49" s="10" t="n"/>
      <c r="L49" s="10" t="n"/>
      <c r="M49" s="10" t="n"/>
      <c r="N49" s="10" t="n"/>
      <c r="O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>
        <f>IF(F50="","",F50-TODAY())</f>
        <v/>
      </c>
      <c r="I50" s="10" t="n"/>
      <c r="J50" s="10" t="n"/>
      <c r="K50" s="10" t="n"/>
      <c r="L50" s="10" t="n"/>
      <c r="M50" s="10" t="n"/>
      <c r="N50" s="10" t="n"/>
      <c r="O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>
        <f>IF(F51="","",F51-TODAY())</f>
        <v/>
      </c>
      <c r="I51" s="10" t="n"/>
      <c r="J51" s="10" t="n"/>
      <c r="K51" s="10" t="n"/>
      <c r="L51" s="10" t="n"/>
      <c r="M51" s="10" t="n"/>
      <c r="N51" s="10" t="n"/>
      <c r="O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>
        <f>IF(F52="","",F52-TODAY())</f>
        <v/>
      </c>
      <c r="I52" s="10" t="n"/>
      <c r="J52" s="10" t="n"/>
      <c r="K52" s="10" t="n"/>
      <c r="L52" s="10" t="n"/>
      <c r="M52" s="10" t="n"/>
      <c r="N52" s="10" t="n"/>
      <c r="O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>
        <f>IF(F53="","",F53-TODAY())</f>
        <v/>
      </c>
      <c r="I53" s="10" t="n"/>
      <c r="J53" s="10" t="n"/>
      <c r="K53" s="10" t="n"/>
      <c r="L53" s="10" t="n"/>
      <c r="M53" s="10" t="n"/>
      <c r="N53" s="10" t="n"/>
      <c r="O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>
        <f>IF(F54="","",F54-TODAY())</f>
        <v/>
      </c>
      <c r="I54" s="10" t="n"/>
      <c r="J54" s="10" t="n"/>
      <c r="K54" s="10" t="n"/>
      <c r="L54" s="10" t="n"/>
      <c r="M54" s="10" t="n"/>
      <c r="N54" s="10" t="n"/>
      <c r="O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>
        <f>IF(F55="","",F55-TODAY())</f>
        <v/>
      </c>
      <c r="I55" s="10" t="n"/>
      <c r="J55" s="10" t="n"/>
      <c r="K55" s="10" t="n"/>
      <c r="L55" s="10" t="n"/>
      <c r="M55" s="10" t="n"/>
      <c r="N55" s="10" t="n"/>
      <c r="O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>
        <f>IF(F56="","",F56-TODAY())</f>
        <v/>
      </c>
      <c r="I56" s="10" t="n"/>
      <c r="J56" s="10" t="n"/>
      <c r="K56" s="10" t="n"/>
      <c r="L56" s="10" t="n"/>
      <c r="M56" s="10" t="n"/>
      <c r="N56" s="10" t="n"/>
      <c r="O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>
        <f>IF(F57="","",F57-TODAY())</f>
        <v/>
      </c>
      <c r="I57" s="10" t="n"/>
      <c r="J57" s="10" t="n"/>
      <c r="K57" s="10" t="n"/>
      <c r="L57" s="10" t="n"/>
      <c r="M57" s="10" t="n"/>
      <c r="N57" s="10" t="n"/>
      <c r="O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>
        <f>IF(F58="","",F58-TODAY())</f>
        <v/>
      </c>
      <c r="I58" s="10" t="n"/>
      <c r="J58" s="10" t="n"/>
      <c r="K58" s="10" t="n"/>
      <c r="L58" s="10" t="n"/>
      <c r="M58" s="10" t="n"/>
      <c r="N58" s="10" t="n"/>
      <c r="O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>
        <f>IF(F59="","",F59-TODAY())</f>
        <v/>
      </c>
      <c r="I59" s="10" t="n"/>
      <c r="J59" s="10" t="n"/>
      <c r="K59" s="10" t="n"/>
      <c r="L59" s="10" t="n"/>
      <c r="M59" s="10" t="n"/>
      <c r="N59" s="10" t="n"/>
      <c r="O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>
        <f>IF(F60="","",F60-TODAY())</f>
        <v/>
      </c>
      <c r="I60" s="10" t="n"/>
      <c r="J60" s="10" t="n"/>
      <c r="K60" s="10" t="n"/>
      <c r="L60" s="10" t="n"/>
      <c r="M60" s="10" t="n"/>
      <c r="N60" s="10" t="n"/>
      <c r="O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>
        <f>IF(F61="","",F61-TODAY())</f>
        <v/>
      </c>
      <c r="I61" s="10" t="n"/>
      <c r="J61" s="10" t="n"/>
      <c r="K61" s="10" t="n"/>
      <c r="L61" s="10" t="n"/>
      <c r="M61" s="10" t="n"/>
      <c r="N61" s="10" t="n"/>
      <c r="O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>
        <f>IF(F62="","",F62-TODAY())</f>
        <v/>
      </c>
      <c r="I62" s="10" t="n"/>
      <c r="J62" s="10" t="n"/>
      <c r="K62" s="10" t="n"/>
      <c r="L62" s="10" t="n"/>
      <c r="M62" s="10" t="n"/>
      <c r="N62" s="10" t="n"/>
      <c r="O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>
        <f>IF(F63="","",F63-TODAY())</f>
        <v/>
      </c>
      <c r="I63" s="10" t="n"/>
      <c r="J63" s="10" t="n"/>
      <c r="K63" s="10" t="n"/>
      <c r="L63" s="10" t="n"/>
      <c r="M63" s="10" t="n"/>
      <c r="N63" s="10" t="n"/>
      <c r="O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>
        <f>IF(F64="","",F64-TODAY())</f>
        <v/>
      </c>
      <c r="I64" s="10" t="n"/>
      <c r="J64" s="10" t="n"/>
      <c r="K64" s="10" t="n"/>
      <c r="L64" s="10" t="n"/>
      <c r="M64" s="10" t="n"/>
      <c r="N64" s="10" t="n"/>
      <c r="O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>
        <f>IF(F65="","",F65-TODAY())</f>
        <v/>
      </c>
      <c r="I65" s="10" t="n"/>
      <c r="J65" s="10" t="n"/>
      <c r="K65" s="10" t="n"/>
      <c r="L65" s="10" t="n"/>
      <c r="M65" s="10" t="n"/>
      <c r="N65" s="10" t="n"/>
      <c r="O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>
        <f>IF(F66="","",F66-TODAY())</f>
        <v/>
      </c>
      <c r="I66" s="10" t="n"/>
      <c r="J66" s="10" t="n"/>
      <c r="K66" s="10" t="n"/>
      <c r="L66" s="10" t="n"/>
      <c r="M66" s="10" t="n"/>
      <c r="N66" s="10" t="n"/>
      <c r="O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>
        <f>IF(F67="","",F67-TODAY())</f>
        <v/>
      </c>
      <c r="I67" s="10" t="n"/>
      <c r="J67" s="10" t="n"/>
      <c r="K67" s="10" t="n"/>
      <c r="L67" s="10" t="n"/>
      <c r="M67" s="10" t="n"/>
      <c r="N67" s="10" t="n"/>
      <c r="O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>
        <f>IF(F68="","",F68-TODAY())</f>
        <v/>
      </c>
      <c r="I68" s="10" t="n"/>
      <c r="J68" s="10" t="n"/>
      <c r="K68" s="10" t="n"/>
      <c r="L68" s="10" t="n"/>
      <c r="M68" s="10" t="n"/>
      <c r="N68" s="10" t="n"/>
      <c r="O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>
        <f>IF(F69="","",F69-TODAY())</f>
        <v/>
      </c>
      <c r="I69" s="10" t="n"/>
      <c r="J69" s="10" t="n"/>
      <c r="K69" s="10" t="n"/>
      <c r="L69" s="10" t="n"/>
      <c r="M69" s="10" t="n"/>
      <c r="N69" s="10" t="n"/>
      <c r="O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>
        <f>IF(F70="","",F70-TODAY())</f>
        <v/>
      </c>
      <c r="I70" s="10" t="n"/>
      <c r="J70" s="10" t="n"/>
      <c r="K70" s="10" t="n"/>
      <c r="L70" s="10" t="n"/>
      <c r="M70" s="10" t="n"/>
      <c r="N70" s="10" t="n"/>
      <c r="O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>
        <f>IF(F71="","",F71-TODAY())</f>
        <v/>
      </c>
      <c r="I71" s="10" t="n"/>
      <c r="J71" s="10" t="n"/>
      <c r="K71" s="10" t="n"/>
      <c r="L71" s="10" t="n"/>
      <c r="M71" s="10" t="n"/>
      <c r="N71" s="10" t="n"/>
      <c r="O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>
        <f>IF(F72="","",F72-TODAY())</f>
        <v/>
      </c>
      <c r="I72" s="10" t="n"/>
      <c r="J72" s="10" t="n"/>
      <c r="K72" s="10" t="n"/>
      <c r="L72" s="10" t="n"/>
      <c r="M72" s="10" t="n"/>
      <c r="N72" s="10" t="n"/>
      <c r="O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>
        <f>IF(F73="","",F73-TODAY())</f>
        <v/>
      </c>
      <c r="I73" s="10" t="n"/>
      <c r="J73" s="10" t="n"/>
      <c r="K73" s="10" t="n"/>
      <c r="L73" s="10" t="n"/>
      <c r="M73" s="10" t="n"/>
      <c r="N73" s="10" t="n"/>
      <c r="O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>
        <f>IF(F74="","",F74-TODAY())</f>
        <v/>
      </c>
      <c r="I74" s="10" t="n"/>
      <c r="J74" s="10" t="n"/>
      <c r="K74" s="10" t="n"/>
      <c r="L74" s="10" t="n"/>
      <c r="M74" s="10" t="n"/>
      <c r="N74" s="10" t="n"/>
      <c r="O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>
        <f>IF(F75="","",F75-TODAY())</f>
        <v/>
      </c>
      <c r="I75" s="10" t="n"/>
      <c r="J75" s="10" t="n"/>
      <c r="K75" s="10" t="n"/>
      <c r="L75" s="10" t="n"/>
      <c r="M75" s="10" t="n"/>
      <c r="N75" s="10" t="n"/>
      <c r="O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>
        <f>IF(F76="","",F76-TODAY())</f>
        <v/>
      </c>
      <c r="I76" s="10" t="n"/>
      <c r="J76" s="10" t="n"/>
      <c r="K76" s="10" t="n"/>
      <c r="L76" s="10" t="n"/>
      <c r="M76" s="10" t="n"/>
      <c r="N76" s="10" t="n"/>
      <c r="O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>
        <f>IF(F77="","",F77-TODAY())</f>
        <v/>
      </c>
      <c r="I77" s="10" t="n"/>
      <c r="J77" s="10" t="n"/>
      <c r="K77" s="10" t="n"/>
      <c r="L77" s="10" t="n"/>
      <c r="M77" s="10" t="n"/>
      <c r="N77" s="10" t="n"/>
      <c r="O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>
        <f>IF(F78="","",F78-TODAY())</f>
        <v/>
      </c>
      <c r="I78" s="10" t="n"/>
      <c r="J78" s="10" t="n"/>
      <c r="K78" s="10" t="n"/>
      <c r="L78" s="10" t="n"/>
      <c r="M78" s="10" t="n"/>
      <c r="N78" s="10" t="n"/>
      <c r="O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>
        <f>IF(F79="","",F79-TODAY())</f>
        <v/>
      </c>
      <c r="I79" s="10" t="n"/>
      <c r="J79" s="10" t="n"/>
      <c r="K79" s="10" t="n"/>
      <c r="L79" s="10" t="n"/>
      <c r="M79" s="10" t="n"/>
      <c r="N79" s="10" t="n"/>
      <c r="O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>
        <f>IF(F80="","",F80-TODAY())</f>
        <v/>
      </c>
      <c r="I80" s="10" t="n"/>
      <c r="J80" s="10" t="n"/>
      <c r="K80" s="10" t="n"/>
      <c r="L80" s="10" t="n"/>
      <c r="M80" s="10" t="n"/>
      <c r="N80" s="10" t="n"/>
      <c r="O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>
        <f>IF(F81="","",F81-TODAY())</f>
        <v/>
      </c>
      <c r="I81" s="10" t="n"/>
      <c r="J81" s="10" t="n"/>
      <c r="K81" s="10" t="n"/>
      <c r="L81" s="10" t="n"/>
      <c r="M81" s="10" t="n"/>
      <c r="N81" s="10" t="n"/>
      <c r="O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>
        <f>IF(F82="","",F82-TODAY())</f>
        <v/>
      </c>
      <c r="I82" s="10" t="n"/>
      <c r="J82" s="10" t="n"/>
      <c r="K82" s="10" t="n"/>
      <c r="L82" s="10" t="n"/>
      <c r="M82" s="10" t="n"/>
      <c r="N82" s="10" t="n"/>
      <c r="O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>
        <f>IF(F83="","",F83-TODAY())</f>
        <v/>
      </c>
      <c r="I83" s="10" t="n"/>
      <c r="J83" s="10" t="n"/>
      <c r="K83" s="10" t="n"/>
      <c r="L83" s="10" t="n"/>
      <c r="M83" s="10" t="n"/>
      <c r="N83" s="10" t="n"/>
      <c r="O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>
        <f>IF(F84="","",F84-TODAY())</f>
        <v/>
      </c>
      <c r="I84" s="10" t="n"/>
      <c r="J84" s="10" t="n"/>
      <c r="K84" s="10" t="n"/>
      <c r="L84" s="10" t="n"/>
      <c r="M84" s="10" t="n"/>
      <c r="N84" s="10" t="n"/>
      <c r="O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>
        <f>IF(F85="","",F85-TODAY())</f>
        <v/>
      </c>
      <c r="I85" s="10" t="n"/>
      <c r="J85" s="10" t="n"/>
      <c r="K85" s="10" t="n"/>
      <c r="L85" s="10" t="n"/>
      <c r="M85" s="10" t="n"/>
      <c r="N85" s="10" t="n"/>
      <c r="O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>
        <f>IF(F86="","",F86-TODAY())</f>
        <v/>
      </c>
      <c r="I86" s="10" t="n"/>
      <c r="J86" s="10" t="n"/>
      <c r="K86" s="10" t="n"/>
      <c r="L86" s="10" t="n"/>
      <c r="M86" s="10" t="n"/>
      <c r="N86" s="10" t="n"/>
      <c r="O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>
        <f>IF(F87="","",F87-TODAY())</f>
        <v/>
      </c>
      <c r="I87" s="10" t="n"/>
      <c r="J87" s="10" t="n"/>
      <c r="K87" s="10" t="n"/>
      <c r="L87" s="10" t="n"/>
      <c r="M87" s="10" t="n"/>
      <c r="N87" s="10" t="n"/>
      <c r="O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>
        <f>IF(F88="","",F88-TODAY())</f>
        <v/>
      </c>
      <c r="I88" s="10" t="n"/>
      <c r="J88" s="10" t="n"/>
      <c r="K88" s="10" t="n"/>
      <c r="L88" s="10" t="n"/>
      <c r="M88" s="10" t="n"/>
      <c r="N88" s="10" t="n"/>
      <c r="O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>
        <f>IF(F89="","",F89-TODAY())</f>
        <v/>
      </c>
      <c r="I89" s="10" t="n"/>
      <c r="J89" s="10" t="n"/>
      <c r="K89" s="10" t="n"/>
      <c r="L89" s="10" t="n"/>
      <c r="M89" s="10" t="n"/>
      <c r="N89" s="10" t="n"/>
      <c r="O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>
        <f>IF(F90="","",F90-TODAY())</f>
        <v/>
      </c>
      <c r="I90" s="10" t="n"/>
      <c r="J90" s="10" t="n"/>
      <c r="K90" s="10" t="n"/>
      <c r="L90" s="10" t="n"/>
      <c r="M90" s="10" t="n"/>
      <c r="N90" s="10" t="n"/>
      <c r="O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>
        <f>IF(F91="","",F91-TODAY())</f>
        <v/>
      </c>
      <c r="I91" s="10" t="n"/>
      <c r="J91" s="10" t="n"/>
      <c r="K91" s="10" t="n"/>
      <c r="L91" s="10" t="n"/>
      <c r="M91" s="10" t="n"/>
      <c r="N91" s="10" t="n"/>
      <c r="O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>
        <f>IF(F92="","",F92-TODAY())</f>
        <v/>
      </c>
      <c r="I92" s="10" t="n"/>
      <c r="J92" s="10" t="n"/>
      <c r="K92" s="10" t="n"/>
      <c r="L92" s="10" t="n"/>
      <c r="M92" s="10" t="n"/>
      <c r="N92" s="10" t="n"/>
      <c r="O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>
        <f>IF(F93="","",F93-TODAY())</f>
        <v/>
      </c>
      <c r="I93" s="10" t="n"/>
      <c r="J93" s="10" t="n"/>
      <c r="K93" s="10" t="n"/>
      <c r="L93" s="10" t="n"/>
      <c r="M93" s="10" t="n"/>
      <c r="N93" s="10" t="n"/>
      <c r="O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>
        <f>IF(F94="","",F94-TODAY())</f>
        <v/>
      </c>
      <c r="I94" s="10" t="n"/>
      <c r="J94" s="10" t="n"/>
      <c r="K94" s="10" t="n"/>
      <c r="L94" s="10" t="n"/>
      <c r="M94" s="10" t="n"/>
      <c r="N94" s="10" t="n"/>
      <c r="O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>
        <f>IF(F95="","",F95-TODAY())</f>
        <v/>
      </c>
      <c r="I95" s="10" t="n"/>
      <c r="J95" s="10" t="n"/>
      <c r="K95" s="10" t="n"/>
      <c r="L95" s="10" t="n"/>
      <c r="M95" s="10" t="n"/>
      <c r="N95" s="10" t="n"/>
      <c r="O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>
        <f>IF(F96="","",F96-TODAY())</f>
        <v/>
      </c>
      <c r="I96" s="10" t="n"/>
      <c r="J96" s="10" t="n"/>
      <c r="K96" s="10" t="n"/>
      <c r="L96" s="10" t="n"/>
      <c r="M96" s="10" t="n"/>
      <c r="N96" s="10" t="n"/>
      <c r="O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>
        <f>IF(F97="","",F97-TODAY())</f>
        <v/>
      </c>
      <c r="I97" s="10" t="n"/>
      <c r="J97" s="10" t="n"/>
      <c r="K97" s="10" t="n"/>
      <c r="L97" s="10" t="n"/>
      <c r="M97" s="10" t="n"/>
      <c r="N97" s="10" t="n"/>
      <c r="O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>
        <f>IF(F98="","",F98-TODAY())</f>
        <v/>
      </c>
      <c r="I98" s="10" t="n"/>
      <c r="J98" s="10" t="n"/>
      <c r="K98" s="10" t="n"/>
      <c r="L98" s="10" t="n"/>
      <c r="M98" s="10" t="n"/>
      <c r="N98" s="10" t="n"/>
      <c r="O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>
        <f>IF(F99="","",F99-TODAY())</f>
        <v/>
      </c>
      <c r="I99" s="10" t="n"/>
      <c r="J99" s="10" t="n"/>
      <c r="K99" s="10" t="n"/>
      <c r="L99" s="10" t="n"/>
      <c r="M99" s="10" t="n"/>
      <c r="N99" s="10" t="n"/>
      <c r="O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>
        <f>IF(F100="","",F100-TODAY())</f>
        <v/>
      </c>
      <c r="I100" s="10" t="n"/>
      <c r="J100" s="10" t="n"/>
      <c r="K100" s="10" t="n"/>
      <c r="L100" s="10" t="n"/>
      <c r="M100" s="10" t="n"/>
      <c r="N100" s="10" t="n"/>
      <c r="O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>
        <f>IF(F101="","",F101-TODAY())</f>
        <v/>
      </c>
      <c r="I101" s="10" t="n"/>
      <c r="J101" s="10" t="n"/>
      <c r="K101" s="10" t="n"/>
      <c r="L101" s="10" t="n"/>
      <c r="M101" s="10" t="n"/>
      <c r="N101" s="10" t="n"/>
      <c r="O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>
        <f>IF(F102="","",F102-TODAY())</f>
        <v/>
      </c>
      <c r="I102" s="10" t="n"/>
      <c r="J102" s="10" t="n"/>
      <c r="K102" s="10" t="n"/>
      <c r="L102" s="10" t="n"/>
      <c r="M102" s="10" t="n"/>
      <c r="N102" s="10" t="n"/>
      <c r="O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>
        <f>IF(F103="","",F103-TODAY())</f>
        <v/>
      </c>
      <c r="I103" s="10" t="n"/>
      <c r="J103" s="10" t="n"/>
      <c r="K103" s="10" t="n"/>
      <c r="L103" s="10" t="n"/>
      <c r="M103" s="10" t="n"/>
      <c r="N103" s="10" t="n"/>
      <c r="O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>
        <f>IF(F104="","",F104-TODAY())</f>
        <v/>
      </c>
      <c r="I104" s="10" t="n"/>
      <c r="J104" s="10" t="n"/>
      <c r="K104" s="10" t="n"/>
      <c r="L104" s="10" t="n"/>
      <c r="M104" s="10" t="n"/>
      <c r="N104" s="10" t="n"/>
      <c r="O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>
        <f>IF(F105="","",F105-TODAY())</f>
        <v/>
      </c>
      <c r="I105" s="10" t="n"/>
      <c r="J105" s="10" t="n"/>
      <c r="K105" s="10" t="n"/>
      <c r="L105" s="10" t="n"/>
      <c r="M105" s="10" t="n"/>
      <c r="N105" s="10" t="n"/>
      <c r="O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>
        <f>IF(F106="","",F106-TODAY())</f>
        <v/>
      </c>
      <c r="I106" s="10" t="n"/>
      <c r="J106" s="10" t="n"/>
      <c r="K106" s="10" t="n"/>
      <c r="L106" s="10" t="n"/>
      <c r="M106" s="10" t="n"/>
      <c r="N106" s="10" t="n"/>
      <c r="O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>
        <f>IF(F107="","",F107-TODAY())</f>
        <v/>
      </c>
      <c r="I107" s="10" t="n"/>
      <c r="J107" s="10" t="n"/>
      <c r="K107" s="10" t="n"/>
      <c r="L107" s="10" t="n"/>
      <c r="M107" s="10" t="n"/>
      <c r="N107" s="10" t="n"/>
      <c r="O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>
        <f>IF(F108="","",F108-TODAY())</f>
        <v/>
      </c>
      <c r="I108" s="10" t="n"/>
      <c r="J108" s="10" t="n"/>
      <c r="K108" s="10" t="n"/>
      <c r="L108" s="10" t="n"/>
      <c r="M108" s="10" t="n"/>
      <c r="N108" s="10" t="n"/>
      <c r="O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>
        <f>IF(F109="","",F109-TODAY())</f>
        <v/>
      </c>
      <c r="I109" s="10" t="n"/>
      <c r="J109" s="10" t="n"/>
      <c r="K109" s="10" t="n"/>
      <c r="L109" s="10" t="n"/>
      <c r="M109" s="10" t="n"/>
      <c r="N109" s="10" t="n"/>
      <c r="O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>
        <f>IF(F110="","",F110-TODAY())</f>
        <v/>
      </c>
      <c r="I110" s="10" t="n"/>
      <c r="J110" s="10" t="n"/>
      <c r="K110" s="10" t="n"/>
      <c r="L110" s="10" t="n"/>
      <c r="M110" s="10" t="n"/>
      <c r="N110" s="10" t="n"/>
      <c r="O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>
        <f>IF(F111="","",F111-TODAY())</f>
        <v/>
      </c>
      <c r="I111" s="10" t="n"/>
      <c r="J111" s="10" t="n"/>
      <c r="K111" s="10" t="n"/>
      <c r="L111" s="10" t="n"/>
      <c r="M111" s="10" t="n"/>
      <c r="N111" s="10" t="n"/>
      <c r="O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>
        <f>IF(F112="","",F112-TODAY())</f>
        <v/>
      </c>
      <c r="I112" s="10" t="n"/>
      <c r="J112" s="10" t="n"/>
      <c r="K112" s="10" t="n"/>
      <c r="L112" s="10" t="n"/>
      <c r="M112" s="10" t="n"/>
      <c r="N112" s="10" t="n"/>
      <c r="O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>
        <f>IF(F113="","",F113-TODAY())</f>
        <v/>
      </c>
      <c r="I113" s="10" t="n"/>
      <c r="J113" s="10" t="n"/>
      <c r="K113" s="10" t="n"/>
      <c r="L113" s="10" t="n"/>
      <c r="M113" s="10" t="n"/>
      <c r="N113" s="10" t="n"/>
      <c r="O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>
        <f>IF(F114="","",F114-TODAY())</f>
        <v/>
      </c>
      <c r="I114" s="10" t="n"/>
      <c r="J114" s="10" t="n"/>
      <c r="K114" s="10" t="n"/>
      <c r="L114" s="10" t="n"/>
      <c r="M114" s="10" t="n"/>
      <c r="N114" s="10" t="n"/>
      <c r="O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>
        <f>IF(F115="","",F115-TODAY())</f>
        <v/>
      </c>
      <c r="I115" s="10" t="n"/>
      <c r="J115" s="10" t="n"/>
      <c r="K115" s="10" t="n"/>
      <c r="L115" s="10" t="n"/>
      <c r="M115" s="10" t="n"/>
      <c r="N115" s="10" t="n"/>
      <c r="O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>
        <f>IF(F116="","",F116-TODAY())</f>
        <v/>
      </c>
      <c r="I116" s="10" t="n"/>
      <c r="J116" s="10" t="n"/>
      <c r="K116" s="10" t="n"/>
      <c r="L116" s="10" t="n"/>
      <c r="M116" s="10" t="n"/>
      <c r="N116" s="10" t="n"/>
      <c r="O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>
        <f>IF(F117="","",F117-TODAY())</f>
        <v/>
      </c>
      <c r="I117" s="10" t="n"/>
      <c r="J117" s="10" t="n"/>
      <c r="K117" s="10" t="n"/>
      <c r="L117" s="10" t="n"/>
      <c r="M117" s="10" t="n"/>
      <c r="N117" s="10" t="n"/>
      <c r="O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>
        <f>IF(F118="","",F118-TODAY())</f>
        <v/>
      </c>
      <c r="I118" s="10" t="n"/>
      <c r="J118" s="10" t="n"/>
      <c r="K118" s="10" t="n"/>
      <c r="L118" s="10" t="n"/>
      <c r="M118" s="10" t="n"/>
      <c r="N118" s="10" t="n"/>
      <c r="O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>
        <f>IF(F119="","",F119-TODAY())</f>
        <v/>
      </c>
      <c r="I119" s="10" t="n"/>
      <c r="J119" s="10" t="n"/>
      <c r="K119" s="10" t="n"/>
      <c r="L119" s="10" t="n"/>
      <c r="M119" s="10" t="n"/>
      <c r="N119" s="10" t="n"/>
      <c r="O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>
        <f>IF(F120="","",F120-TODAY())</f>
        <v/>
      </c>
      <c r="I120" s="10" t="n"/>
      <c r="J120" s="10" t="n"/>
      <c r="K120" s="10" t="n"/>
      <c r="L120" s="10" t="n"/>
      <c r="M120" s="10" t="n"/>
      <c r="N120" s="10" t="n"/>
      <c r="O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>
        <f>IF(F121="","",F121-TODAY())</f>
        <v/>
      </c>
      <c r="I121" s="10" t="n"/>
      <c r="J121" s="10" t="n"/>
      <c r="K121" s="10" t="n"/>
      <c r="L121" s="10" t="n"/>
      <c r="M121" s="10" t="n"/>
      <c r="N121" s="10" t="n"/>
      <c r="O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>
        <f>IF(F122="","",F122-TODAY())</f>
        <v/>
      </c>
      <c r="I122" s="10" t="n"/>
      <c r="J122" s="10" t="n"/>
      <c r="K122" s="10" t="n"/>
      <c r="L122" s="10" t="n"/>
      <c r="M122" s="10" t="n"/>
      <c r="N122" s="10" t="n"/>
      <c r="O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>
        <f>IF(F123="","",F123-TODAY())</f>
        <v/>
      </c>
      <c r="I123" s="10" t="n"/>
      <c r="J123" s="10" t="n"/>
      <c r="K123" s="10" t="n"/>
      <c r="L123" s="10" t="n"/>
      <c r="M123" s="10" t="n"/>
      <c r="N123" s="10" t="n"/>
      <c r="O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>
        <f>IF(F124="","",F124-TODAY())</f>
        <v/>
      </c>
      <c r="I124" s="10" t="n"/>
      <c r="J124" s="10" t="n"/>
      <c r="K124" s="10" t="n"/>
      <c r="L124" s="10" t="n"/>
      <c r="M124" s="10" t="n"/>
      <c r="N124" s="10" t="n"/>
      <c r="O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>
        <f>IF(F125="","",F125-TODAY())</f>
        <v/>
      </c>
      <c r="I125" s="10" t="n"/>
      <c r="J125" s="10" t="n"/>
      <c r="K125" s="10" t="n"/>
      <c r="L125" s="10" t="n"/>
      <c r="M125" s="10" t="n"/>
      <c r="N125" s="10" t="n"/>
      <c r="O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>
        <f>IF(F126="","",F126-TODAY())</f>
        <v/>
      </c>
      <c r="I126" s="10" t="n"/>
      <c r="J126" s="10" t="n"/>
      <c r="K126" s="10" t="n"/>
      <c r="L126" s="10" t="n"/>
      <c r="M126" s="10" t="n"/>
      <c r="N126" s="10" t="n"/>
      <c r="O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>
        <f>IF(F127="","",F127-TODAY())</f>
        <v/>
      </c>
      <c r="I127" s="10" t="n"/>
      <c r="J127" s="10" t="n"/>
      <c r="K127" s="10" t="n"/>
      <c r="L127" s="10" t="n"/>
      <c r="M127" s="10" t="n"/>
      <c r="N127" s="10" t="n"/>
      <c r="O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>
        <f>IF(F128="","",F128-TODAY())</f>
        <v/>
      </c>
      <c r="I128" s="10" t="n"/>
      <c r="J128" s="10" t="n"/>
      <c r="K128" s="10" t="n"/>
      <c r="L128" s="10" t="n"/>
      <c r="M128" s="10" t="n"/>
      <c r="N128" s="10" t="n"/>
      <c r="O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>
        <f>IF(F129="","",F129-TODAY())</f>
        <v/>
      </c>
      <c r="I129" s="10" t="n"/>
      <c r="J129" s="10" t="n"/>
      <c r="K129" s="10" t="n"/>
      <c r="L129" s="10" t="n"/>
      <c r="M129" s="10" t="n"/>
      <c r="N129" s="10" t="n"/>
      <c r="O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>
        <f>IF(F130="","",F130-TODAY())</f>
        <v/>
      </c>
      <c r="I130" s="10" t="n"/>
      <c r="J130" s="10" t="n"/>
      <c r="K130" s="10" t="n"/>
      <c r="L130" s="10" t="n"/>
      <c r="M130" s="10" t="n"/>
      <c r="N130" s="10" t="n"/>
      <c r="O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>
        <f>IF(F131="","",F131-TODAY())</f>
        <v/>
      </c>
      <c r="I131" s="10" t="n"/>
      <c r="J131" s="10" t="n"/>
      <c r="K131" s="10" t="n"/>
      <c r="L131" s="10" t="n"/>
      <c r="M131" s="10" t="n"/>
      <c r="N131" s="10" t="n"/>
      <c r="O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>
        <f>IF(F132="","",F132-TODAY())</f>
        <v/>
      </c>
      <c r="I132" s="10" t="n"/>
      <c r="J132" s="10" t="n"/>
      <c r="K132" s="10" t="n"/>
      <c r="L132" s="10" t="n"/>
      <c r="M132" s="10" t="n"/>
      <c r="N132" s="10" t="n"/>
      <c r="O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>
        <f>IF(F133="","",F133-TODAY())</f>
        <v/>
      </c>
      <c r="I133" s="10" t="n"/>
      <c r="J133" s="10" t="n"/>
      <c r="K133" s="10" t="n"/>
      <c r="L133" s="10" t="n"/>
      <c r="M133" s="10" t="n"/>
      <c r="N133" s="10" t="n"/>
      <c r="O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>
        <f>IF(F134="","",F134-TODAY())</f>
        <v/>
      </c>
      <c r="I134" s="10" t="n"/>
      <c r="J134" s="10" t="n"/>
      <c r="K134" s="10" t="n"/>
      <c r="L134" s="10" t="n"/>
      <c r="M134" s="10" t="n"/>
      <c r="N134" s="10" t="n"/>
      <c r="O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>
        <f>IF(F135="","",F135-TODAY())</f>
        <v/>
      </c>
      <c r="I135" s="10" t="n"/>
      <c r="J135" s="10" t="n"/>
      <c r="K135" s="10" t="n"/>
      <c r="L135" s="10" t="n"/>
      <c r="M135" s="10" t="n"/>
      <c r="N135" s="10" t="n"/>
      <c r="O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>
        <f>IF(F136="","",F136-TODAY())</f>
        <v/>
      </c>
      <c r="I136" s="10" t="n"/>
      <c r="J136" s="10" t="n"/>
      <c r="K136" s="10" t="n"/>
      <c r="L136" s="10" t="n"/>
      <c r="M136" s="10" t="n"/>
      <c r="N136" s="10" t="n"/>
      <c r="O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>
        <f>IF(F137="","",F137-TODAY())</f>
        <v/>
      </c>
      <c r="I137" s="10" t="n"/>
      <c r="J137" s="10" t="n"/>
      <c r="K137" s="10" t="n"/>
      <c r="L137" s="10" t="n"/>
      <c r="M137" s="10" t="n"/>
      <c r="N137" s="10" t="n"/>
      <c r="O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>
        <f>IF(F138="","",F138-TODAY())</f>
        <v/>
      </c>
      <c r="I138" s="10" t="n"/>
      <c r="J138" s="10" t="n"/>
      <c r="K138" s="10" t="n"/>
      <c r="L138" s="10" t="n"/>
      <c r="M138" s="10" t="n"/>
      <c r="N138" s="10" t="n"/>
      <c r="O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>
        <f>IF(F139="","",F139-TODAY())</f>
        <v/>
      </c>
      <c r="I139" s="10" t="n"/>
      <c r="J139" s="10" t="n"/>
      <c r="K139" s="10" t="n"/>
      <c r="L139" s="10" t="n"/>
      <c r="M139" s="10" t="n"/>
      <c r="N139" s="10" t="n"/>
      <c r="O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>
        <f>IF(F140="","",F140-TODAY())</f>
        <v/>
      </c>
      <c r="I140" s="10" t="n"/>
      <c r="J140" s="10" t="n"/>
      <c r="K140" s="10" t="n"/>
      <c r="L140" s="10" t="n"/>
      <c r="M140" s="10" t="n"/>
      <c r="N140" s="10" t="n"/>
      <c r="O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>
        <f>IF(F141="","",F141-TODAY())</f>
        <v/>
      </c>
      <c r="I141" s="10" t="n"/>
      <c r="J141" s="10" t="n"/>
      <c r="K141" s="10" t="n"/>
      <c r="L141" s="10" t="n"/>
      <c r="M141" s="10" t="n"/>
      <c r="N141" s="10" t="n"/>
      <c r="O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>
        <f>IF(F142="","",F142-TODAY())</f>
        <v/>
      </c>
      <c r="I142" s="10" t="n"/>
      <c r="J142" s="10" t="n"/>
      <c r="K142" s="10" t="n"/>
      <c r="L142" s="10" t="n"/>
      <c r="M142" s="10" t="n"/>
      <c r="N142" s="10" t="n"/>
      <c r="O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>
        <f>IF(F143="","",F143-TODAY())</f>
        <v/>
      </c>
      <c r="I143" s="10" t="n"/>
      <c r="J143" s="10" t="n"/>
      <c r="K143" s="10" t="n"/>
      <c r="L143" s="10" t="n"/>
      <c r="M143" s="10" t="n"/>
      <c r="N143" s="10" t="n"/>
      <c r="O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>
        <f>IF(F144="","",F144-TODAY())</f>
        <v/>
      </c>
      <c r="I144" s="10" t="n"/>
      <c r="J144" s="10" t="n"/>
      <c r="K144" s="10" t="n"/>
      <c r="L144" s="10" t="n"/>
      <c r="M144" s="10" t="n"/>
      <c r="N144" s="10" t="n"/>
      <c r="O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>
        <f>IF(F145="","",F145-TODAY())</f>
        <v/>
      </c>
      <c r="I145" s="10" t="n"/>
      <c r="J145" s="10" t="n"/>
      <c r="K145" s="10" t="n"/>
      <c r="L145" s="10" t="n"/>
      <c r="M145" s="10" t="n"/>
      <c r="N145" s="10" t="n"/>
      <c r="O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>
        <f>IF(F146="","",F146-TODAY())</f>
        <v/>
      </c>
      <c r="I146" s="10" t="n"/>
      <c r="J146" s="10" t="n"/>
      <c r="K146" s="10" t="n"/>
      <c r="L146" s="10" t="n"/>
      <c r="M146" s="10" t="n"/>
      <c r="N146" s="10" t="n"/>
      <c r="O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>
        <f>IF(F147="","",F147-TODAY())</f>
        <v/>
      </c>
      <c r="I147" s="10" t="n"/>
      <c r="J147" s="10" t="n"/>
      <c r="K147" s="10" t="n"/>
      <c r="L147" s="10" t="n"/>
      <c r="M147" s="10" t="n"/>
      <c r="N147" s="10" t="n"/>
      <c r="O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>
        <f>IF(F148="","",F148-TODAY())</f>
        <v/>
      </c>
      <c r="I148" s="10" t="n"/>
      <c r="J148" s="10" t="n"/>
      <c r="K148" s="10" t="n"/>
      <c r="L148" s="10" t="n"/>
      <c r="M148" s="10" t="n"/>
      <c r="N148" s="10" t="n"/>
      <c r="O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>
        <f>IF(F149="","",F149-TODAY())</f>
        <v/>
      </c>
      <c r="I149" s="10" t="n"/>
      <c r="J149" s="10" t="n"/>
      <c r="K149" s="10" t="n"/>
      <c r="L149" s="10" t="n"/>
      <c r="M149" s="10" t="n"/>
      <c r="N149" s="10" t="n"/>
      <c r="O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>
        <f>IF(F150="","",F150-TODAY())</f>
        <v/>
      </c>
      <c r="I150" s="10" t="n"/>
      <c r="J150" s="10" t="n"/>
      <c r="K150" s="10" t="n"/>
      <c r="L150" s="10" t="n"/>
      <c r="M150" s="10" t="n"/>
      <c r="N150" s="10" t="n"/>
      <c r="O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>
        <f>IF(F151="","",F151-TODAY())</f>
        <v/>
      </c>
      <c r="I151" s="10" t="n"/>
      <c r="J151" s="10" t="n"/>
      <c r="K151" s="10" t="n"/>
      <c r="L151" s="10" t="n"/>
      <c r="M151" s="10" t="n"/>
      <c r="N151" s="10" t="n"/>
      <c r="O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>
        <f>IF(F152="","",F152-TODAY())</f>
        <v/>
      </c>
      <c r="I152" s="10" t="n"/>
      <c r="J152" s="10" t="n"/>
      <c r="K152" s="10" t="n"/>
      <c r="L152" s="10" t="n"/>
      <c r="M152" s="10" t="n"/>
      <c r="N152" s="10" t="n"/>
      <c r="O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>
        <f>IF(F153="","",F153-TODAY())</f>
        <v/>
      </c>
      <c r="I153" s="10" t="n"/>
      <c r="J153" s="10" t="n"/>
      <c r="K153" s="10" t="n"/>
      <c r="L153" s="10" t="n"/>
      <c r="M153" s="10" t="n"/>
      <c r="N153" s="10" t="n"/>
      <c r="O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>
        <f>IF(F154="","",F154-TODAY())</f>
        <v/>
      </c>
      <c r="I154" s="10" t="n"/>
      <c r="J154" s="10" t="n"/>
      <c r="K154" s="10" t="n"/>
      <c r="L154" s="10" t="n"/>
      <c r="M154" s="10" t="n"/>
      <c r="N154" s="10" t="n"/>
      <c r="O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>
        <f>IF(F155="","",F155-TODAY())</f>
        <v/>
      </c>
      <c r="I155" s="10" t="n"/>
      <c r="J155" s="10" t="n"/>
      <c r="K155" s="10" t="n"/>
      <c r="L155" s="10" t="n"/>
      <c r="M155" s="10" t="n"/>
      <c r="N155" s="10" t="n"/>
      <c r="O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>
        <f>IF(F156="","",F156-TODAY())</f>
        <v/>
      </c>
      <c r="I156" s="10" t="n"/>
      <c r="J156" s="10" t="n"/>
      <c r="K156" s="10" t="n"/>
      <c r="L156" s="10" t="n"/>
      <c r="M156" s="10" t="n"/>
      <c r="N156" s="10" t="n"/>
      <c r="O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>
        <f>IF(F157="","",F157-TODAY())</f>
        <v/>
      </c>
      <c r="I157" s="10" t="n"/>
      <c r="J157" s="10" t="n"/>
      <c r="K157" s="10" t="n"/>
      <c r="L157" s="10" t="n"/>
      <c r="M157" s="10" t="n"/>
      <c r="N157" s="10" t="n"/>
      <c r="O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>
        <f>IF(F158="","",F158-TODAY())</f>
        <v/>
      </c>
      <c r="I158" s="10" t="n"/>
      <c r="J158" s="10" t="n"/>
      <c r="K158" s="10" t="n"/>
      <c r="L158" s="10" t="n"/>
      <c r="M158" s="10" t="n"/>
      <c r="N158" s="10" t="n"/>
      <c r="O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>
        <f>IF(F159="","",F159-TODAY())</f>
        <v/>
      </c>
      <c r="I159" s="10" t="n"/>
      <c r="J159" s="10" t="n"/>
      <c r="K159" s="10" t="n"/>
      <c r="L159" s="10" t="n"/>
      <c r="M159" s="10" t="n"/>
      <c r="N159" s="10" t="n"/>
      <c r="O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>
        <f>IF(F160="","",F160-TODAY())</f>
        <v/>
      </c>
      <c r="I160" s="10" t="n"/>
      <c r="J160" s="10" t="n"/>
      <c r="K160" s="10" t="n"/>
      <c r="L160" s="10" t="n"/>
      <c r="M160" s="10" t="n"/>
      <c r="N160" s="10" t="n"/>
      <c r="O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>
        <f>IF(F161="","",F161-TODAY())</f>
        <v/>
      </c>
      <c r="I161" s="10" t="n"/>
      <c r="J161" s="10" t="n"/>
      <c r="K161" s="10" t="n"/>
      <c r="L161" s="10" t="n"/>
      <c r="M161" s="10" t="n"/>
      <c r="N161" s="10" t="n"/>
      <c r="O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>
        <f>IF(F162="","",F162-TODAY())</f>
        <v/>
      </c>
      <c r="I162" s="10" t="n"/>
      <c r="J162" s="10" t="n"/>
      <c r="K162" s="10" t="n"/>
      <c r="L162" s="10" t="n"/>
      <c r="M162" s="10" t="n"/>
      <c r="N162" s="10" t="n"/>
      <c r="O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>
        <f>IF(F163="","",F163-TODAY())</f>
        <v/>
      </c>
      <c r="I163" s="10" t="n"/>
      <c r="J163" s="10" t="n"/>
      <c r="K163" s="10" t="n"/>
      <c r="L163" s="10" t="n"/>
      <c r="M163" s="10" t="n"/>
      <c r="N163" s="10" t="n"/>
      <c r="O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>
        <f>IF(F164="","",F164-TODAY())</f>
        <v/>
      </c>
      <c r="I164" s="10" t="n"/>
      <c r="J164" s="10" t="n"/>
      <c r="K164" s="10" t="n"/>
      <c r="L164" s="10" t="n"/>
      <c r="M164" s="10" t="n"/>
      <c r="N164" s="10" t="n"/>
      <c r="O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>
        <f>IF(F165="","",F165-TODAY())</f>
        <v/>
      </c>
      <c r="I165" s="10" t="n"/>
      <c r="J165" s="10" t="n"/>
      <c r="K165" s="10" t="n"/>
      <c r="L165" s="10" t="n"/>
      <c r="M165" s="10" t="n"/>
      <c r="N165" s="10" t="n"/>
      <c r="O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>
        <f>IF(F166="","",F166-TODAY())</f>
        <v/>
      </c>
      <c r="I166" s="10" t="n"/>
      <c r="J166" s="10" t="n"/>
      <c r="K166" s="10" t="n"/>
      <c r="L166" s="10" t="n"/>
      <c r="M166" s="10" t="n"/>
      <c r="N166" s="10" t="n"/>
      <c r="O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>
        <f>IF(F167="","",F167-TODAY())</f>
        <v/>
      </c>
      <c r="I167" s="10" t="n"/>
      <c r="J167" s="10" t="n"/>
      <c r="K167" s="10" t="n"/>
      <c r="L167" s="10" t="n"/>
      <c r="M167" s="10" t="n"/>
      <c r="N167" s="10" t="n"/>
      <c r="O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>
        <f>IF(F168="","",F168-TODAY())</f>
        <v/>
      </c>
      <c r="I168" s="10" t="n"/>
      <c r="J168" s="10" t="n"/>
      <c r="K168" s="10" t="n"/>
      <c r="L168" s="10" t="n"/>
      <c r="M168" s="10" t="n"/>
      <c r="N168" s="10" t="n"/>
      <c r="O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>
        <f>IF(F169="","",F169-TODAY())</f>
        <v/>
      </c>
      <c r="I169" s="10" t="n"/>
      <c r="J169" s="10" t="n"/>
      <c r="K169" s="10" t="n"/>
      <c r="L169" s="10" t="n"/>
      <c r="M169" s="10" t="n"/>
      <c r="N169" s="10" t="n"/>
      <c r="O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>
        <f>IF(F170="","",F170-TODAY())</f>
        <v/>
      </c>
      <c r="I170" s="10" t="n"/>
      <c r="J170" s="10" t="n"/>
      <c r="K170" s="10" t="n"/>
      <c r="L170" s="10" t="n"/>
      <c r="M170" s="10" t="n"/>
      <c r="N170" s="10" t="n"/>
      <c r="O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>
        <f>IF(F171="","",F171-TODAY())</f>
        <v/>
      </c>
      <c r="I171" s="10" t="n"/>
      <c r="J171" s="10" t="n"/>
      <c r="K171" s="10" t="n"/>
      <c r="L171" s="10" t="n"/>
      <c r="M171" s="10" t="n"/>
      <c r="N171" s="10" t="n"/>
      <c r="O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>
        <f>IF(F172="","",F172-TODAY())</f>
        <v/>
      </c>
      <c r="I172" s="10" t="n"/>
      <c r="J172" s="10" t="n"/>
      <c r="K172" s="10" t="n"/>
      <c r="L172" s="10" t="n"/>
      <c r="M172" s="10" t="n"/>
      <c r="N172" s="10" t="n"/>
      <c r="O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>
        <f>IF(F173="","",F173-TODAY())</f>
        <v/>
      </c>
      <c r="I173" s="10" t="n"/>
      <c r="J173" s="10" t="n"/>
      <c r="K173" s="10" t="n"/>
      <c r="L173" s="10" t="n"/>
      <c r="M173" s="10" t="n"/>
      <c r="N173" s="10" t="n"/>
      <c r="O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>
        <f>IF(F174="","",F174-TODAY())</f>
        <v/>
      </c>
      <c r="I174" s="10" t="n"/>
      <c r="J174" s="10" t="n"/>
      <c r="K174" s="10" t="n"/>
      <c r="L174" s="10" t="n"/>
      <c r="M174" s="10" t="n"/>
      <c r="N174" s="10" t="n"/>
      <c r="O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>
        <f>IF(F175="","",F175-TODAY())</f>
        <v/>
      </c>
      <c r="I175" s="10" t="n"/>
      <c r="J175" s="10" t="n"/>
      <c r="K175" s="10" t="n"/>
      <c r="L175" s="10" t="n"/>
      <c r="M175" s="10" t="n"/>
      <c r="N175" s="10" t="n"/>
      <c r="O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>
        <f>IF(F176="","",F176-TODAY())</f>
        <v/>
      </c>
      <c r="I176" s="10" t="n"/>
      <c r="J176" s="10" t="n"/>
      <c r="K176" s="10" t="n"/>
      <c r="L176" s="10" t="n"/>
      <c r="M176" s="10" t="n"/>
      <c r="N176" s="10" t="n"/>
      <c r="O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>
        <f>IF(F177="","",F177-TODAY())</f>
        <v/>
      </c>
      <c r="I177" s="10" t="n"/>
      <c r="J177" s="10" t="n"/>
      <c r="K177" s="10" t="n"/>
      <c r="L177" s="10" t="n"/>
      <c r="M177" s="10" t="n"/>
      <c r="N177" s="10" t="n"/>
      <c r="O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>
        <f>IF(F178="","",F178-TODAY())</f>
        <v/>
      </c>
      <c r="I178" s="10" t="n"/>
      <c r="J178" s="10" t="n"/>
      <c r="K178" s="10" t="n"/>
      <c r="L178" s="10" t="n"/>
      <c r="M178" s="10" t="n"/>
      <c r="N178" s="10" t="n"/>
      <c r="O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>
        <f>IF(F179="","",F179-TODAY())</f>
        <v/>
      </c>
      <c r="I179" s="10" t="n"/>
      <c r="J179" s="10" t="n"/>
      <c r="K179" s="10" t="n"/>
      <c r="L179" s="10" t="n"/>
      <c r="M179" s="10" t="n"/>
      <c r="N179" s="10" t="n"/>
      <c r="O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>
        <f>IF(F180="","",F180-TODAY())</f>
        <v/>
      </c>
      <c r="I180" s="10" t="n"/>
      <c r="J180" s="10" t="n"/>
      <c r="K180" s="10" t="n"/>
      <c r="L180" s="10" t="n"/>
      <c r="M180" s="10" t="n"/>
      <c r="N180" s="10" t="n"/>
      <c r="O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>
        <f>IF(F181="","",F181-TODAY())</f>
        <v/>
      </c>
      <c r="I181" s="10" t="n"/>
      <c r="J181" s="10" t="n"/>
      <c r="K181" s="10" t="n"/>
      <c r="L181" s="10" t="n"/>
      <c r="M181" s="10" t="n"/>
      <c r="N181" s="10" t="n"/>
      <c r="O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>
        <f>IF(F182="","",F182-TODAY())</f>
        <v/>
      </c>
      <c r="I182" s="10" t="n"/>
      <c r="J182" s="10" t="n"/>
      <c r="K182" s="10" t="n"/>
      <c r="L182" s="10" t="n"/>
      <c r="M182" s="10" t="n"/>
      <c r="N182" s="10" t="n"/>
      <c r="O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>
        <f>IF(F183="","",F183-TODAY())</f>
        <v/>
      </c>
      <c r="I183" s="10" t="n"/>
      <c r="J183" s="10" t="n"/>
      <c r="K183" s="10" t="n"/>
      <c r="L183" s="10" t="n"/>
      <c r="M183" s="10" t="n"/>
      <c r="N183" s="10" t="n"/>
      <c r="O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>
        <f>IF(F184="","",F184-TODAY())</f>
        <v/>
      </c>
      <c r="I184" s="10" t="n"/>
      <c r="J184" s="10" t="n"/>
      <c r="K184" s="10" t="n"/>
      <c r="L184" s="10" t="n"/>
      <c r="M184" s="10" t="n"/>
      <c r="N184" s="10" t="n"/>
      <c r="O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>
        <f>IF(F185="","",F185-TODAY())</f>
        <v/>
      </c>
      <c r="I185" s="10" t="n"/>
      <c r="J185" s="10" t="n"/>
      <c r="K185" s="10" t="n"/>
      <c r="L185" s="10" t="n"/>
      <c r="M185" s="10" t="n"/>
      <c r="N185" s="10" t="n"/>
      <c r="O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>
        <f>IF(F186="","",F186-TODAY())</f>
        <v/>
      </c>
      <c r="I186" s="10" t="n"/>
      <c r="J186" s="10" t="n"/>
      <c r="K186" s="10" t="n"/>
      <c r="L186" s="10" t="n"/>
      <c r="M186" s="10" t="n"/>
      <c r="N186" s="10" t="n"/>
      <c r="O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>
        <f>IF(F187="","",F187-TODAY())</f>
        <v/>
      </c>
      <c r="I187" s="10" t="n"/>
      <c r="J187" s="10" t="n"/>
      <c r="K187" s="10" t="n"/>
      <c r="L187" s="10" t="n"/>
      <c r="M187" s="10" t="n"/>
      <c r="N187" s="10" t="n"/>
      <c r="O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>
        <f>IF(F188="","",F188-TODAY())</f>
        <v/>
      </c>
      <c r="I188" s="10" t="n"/>
      <c r="J188" s="10" t="n"/>
      <c r="K188" s="10" t="n"/>
      <c r="L188" s="10" t="n"/>
      <c r="M188" s="10" t="n"/>
      <c r="N188" s="10" t="n"/>
      <c r="O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>
        <f>IF(F189="","",F189-TODAY())</f>
        <v/>
      </c>
      <c r="I189" s="10" t="n"/>
      <c r="J189" s="10" t="n"/>
      <c r="K189" s="10" t="n"/>
      <c r="L189" s="10" t="n"/>
      <c r="M189" s="10" t="n"/>
      <c r="N189" s="10" t="n"/>
      <c r="O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>
        <f>IF(F190="","",F190-TODAY())</f>
        <v/>
      </c>
      <c r="I190" s="10" t="n"/>
      <c r="J190" s="10" t="n"/>
      <c r="K190" s="10" t="n"/>
      <c r="L190" s="10" t="n"/>
      <c r="M190" s="10" t="n"/>
      <c r="N190" s="10" t="n"/>
      <c r="O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>
        <f>IF(F191="","",F191-TODAY())</f>
        <v/>
      </c>
      <c r="I191" s="10" t="n"/>
      <c r="J191" s="10" t="n"/>
      <c r="K191" s="10" t="n"/>
      <c r="L191" s="10" t="n"/>
      <c r="M191" s="10" t="n"/>
      <c r="N191" s="10" t="n"/>
      <c r="O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>
        <f>IF(F192="","",F192-TODAY())</f>
        <v/>
      </c>
      <c r="I192" s="10" t="n"/>
      <c r="J192" s="10" t="n"/>
      <c r="K192" s="10" t="n"/>
      <c r="L192" s="10" t="n"/>
      <c r="M192" s="10" t="n"/>
      <c r="N192" s="10" t="n"/>
      <c r="O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>
        <f>IF(F193="","",F193-TODAY())</f>
        <v/>
      </c>
      <c r="I193" s="10" t="n"/>
      <c r="J193" s="10" t="n"/>
      <c r="K193" s="10" t="n"/>
      <c r="L193" s="10" t="n"/>
      <c r="M193" s="10" t="n"/>
      <c r="N193" s="10" t="n"/>
      <c r="O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>
        <f>IF(F194="","",F194-TODAY())</f>
        <v/>
      </c>
      <c r="I194" s="10" t="n"/>
      <c r="J194" s="10" t="n"/>
      <c r="K194" s="10" t="n"/>
      <c r="L194" s="10" t="n"/>
      <c r="M194" s="10" t="n"/>
      <c r="N194" s="10" t="n"/>
      <c r="O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>
        <f>IF(F195="","",F195-TODAY())</f>
        <v/>
      </c>
      <c r="I195" s="10" t="n"/>
      <c r="J195" s="10" t="n"/>
      <c r="K195" s="10" t="n"/>
      <c r="L195" s="10" t="n"/>
      <c r="M195" s="10" t="n"/>
      <c r="N195" s="10" t="n"/>
      <c r="O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>
        <f>IF(F196="","",F196-TODAY())</f>
        <v/>
      </c>
      <c r="I196" s="10" t="n"/>
      <c r="J196" s="10" t="n"/>
      <c r="K196" s="10" t="n"/>
      <c r="L196" s="10" t="n"/>
      <c r="M196" s="10" t="n"/>
      <c r="N196" s="10" t="n"/>
      <c r="O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>
        <f>IF(F197="","",F197-TODAY())</f>
        <v/>
      </c>
      <c r="I197" s="10" t="n"/>
      <c r="J197" s="10" t="n"/>
      <c r="K197" s="10" t="n"/>
      <c r="L197" s="10" t="n"/>
      <c r="M197" s="10" t="n"/>
      <c r="N197" s="10" t="n"/>
      <c r="O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>
        <f>IF(F198="","",F198-TODAY())</f>
        <v/>
      </c>
      <c r="I198" s="10" t="n"/>
      <c r="J198" s="10" t="n"/>
      <c r="K198" s="10" t="n"/>
      <c r="L198" s="10" t="n"/>
      <c r="M198" s="10" t="n"/>
      <c r="N198" s="10" t="n"/>
      <c r="O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>
        <f>IF(F199="","",F199-TODAY())</f>
        <v/>
      </c>
      <c r="I199" s="10" t="n"/>
      <c r="J199" s="10" t="n"/>
      <c r="K199" s="10" t="n"/>
      <c r="L199" s="10" t="n"/>
      <c r="M199" s="10" t="n"/>
      <c r="N199" s="10" t="n"/>
      <c r="O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>
        <f>IF(F200="","",F200-TODAY())</f>
        <v/>
      </c>
      <c r="I200" s="10" t="n"/>
      <c r="J200" s="10" t="n"/>
      <c r="K200" s="10" t="n"/>
      <c r="L200" s="10" t="n"/>
      <c r="M200" s="10" t="n"/>
      <c r="N200" s="10" t="n"/>
      <c r="O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>
        <f>IF(F201="","",F201-TODAY())</f>
        <v/>
      </c>
      <c r="I201" s="10" t="n"/>
      <c r="J201" s="10" t="n"/>
      <c r="K201" s="10" t="n"/>
      <c r="L201" s="10" t="n"/>
      <c r="M201" s="10" t="n"/>
      <c r="N201" s="10" t="n"/>
      <c r="O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>
        <f>IF(F202="","",F202-TODAY())</f>
        <v/>
      </c>
      <c r="I202" s="10" t="n"/>
      <c r="J202" s="10" t="n"/>
      <c r="K202" s="10" t="n"/>
      <c r="L202" s="10" t="n"/>
      <c r="M202" s="10" t="n"/>
      <c r="N202" s="10" t="n"/>
      <c r="O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>
        <f>IF(F203="","",F203-TODAY())</f>
        <v/>
      </c>
      <c r="I203" s="10" t="n"/>
      <c r="J203" s="10" t="n"/>
      <c r="K203" s="10" t="n"/>
      <c r="L203" s="10" t="n"/>
      <c r="M203" s="10" t="n"/>
      <c r="N203" s="10" t="n"/>
      <c r="O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>
        <f>IF(F204="","",F204-TODAY())</f>
        <v/>
      </c>
      <c r="I204" s="10" t="n"/>
      <c r="J204" s="10" t="n"/>
      <c r="K204" s="10" t="n"/>
      <c r="L204" s="10" t="n"/>
      <c r="M204" s="10" t="n"/>
      <c r="N204" s="10" t="n"/>
      <c r="O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>
        <f>IF(F205="","",F205-TODAY())</f>
        <v/>
      </c>
      <c r="I205" s="10" t="n"/>
      <c r="J205" s="10" t="n"/>
      <c r="K205" s="10" t="n"/>
      <c r="L205" s="10" t="n"/>
      <c r="M205" s="10" t="n"/>
      <c r="N205" s="10" t="n"/>
      <c r="O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>
        <f>IF(F206="","",F206-TODAY())</f>
        <v/>
      </c>
      <c r="I206" s="10" t="n"/>
      <c r="J206" s="10" t="n"/>
      <c r="K206" s="10" t="n"/>
      <c r="L206" s="10" t="n"/>
      <c r="M206" s="10" t="n"/>
      <c r="N206" s="10" t="n"/>
      <c r="O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>
        <f>IF(F207="","",F207-TODAY())</f>
        <v/>
      </c>
      <c r="I207" s="10" t="n"/>
      <c r="J207" s="10" t="n"/>
      <c r="K207" s="10" t="n"/>
      <c r="L207" s="10" t="n"/>
      <c r="M207" s="10" t="n"/>
      <c r="N207" s="10" t="n"/>
      <c r="O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>
        <f>IF(F208="","",F208-TODAY())</f>
        <v/>
      </c>
      <c r="I208" s="10" t="n"/>
      <c r="J208" s="10" t="n"/>
      <c r="K208" s="10" t="n"/>
      <c r="L208" s="10" t="n"/>
      <c r="M208" s="10" t="n"/>
      <c r="N208" s="10" t="n"/>
      <c r="O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>
        <f>IF(F209="","",F209-TODAY())</f>
        <v/>
      </c>
      <c r="I209" s="10" t="n"/>
      <c r="J209" s="10" t="n"/>
      <c r="K209" s="10" t="n"/>
      <c r="L209" s="10" t="n"/>
      <c r="M209" s="10" t="n"/>
      <c r="N209" s="10" t="n"/>
      <c r="O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>
        <f>IF(F210="","",F210-TODAY())</f>
        <v/>
      </c>
      <c r="I210" s="10" t="n"/>
      <c r="J210" s="10" t="n"/>
      <c r="K210" s="10" t="n"/>
      <c r="L210" s="10" t="n"/>
      <c r="M210" s="10" t="n"/>
      <c r="N210" s="10" t="n"/>
      <c r="O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>
        <f>IF(F211="","",F211-TODAY())</f>
        <v/>
      </c>
      <c r="I211" s="10" t="n"/>
      <c r="J211" s="10" t="n"/>
      <c r="K211" s="10" t="n"/>
      <c r="L211" s="10" t="n"/>
      <c r="M211" s="10" t="n"/>
      <c r="N211" s="10" t="n"/>
      <c r="O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>
        <f>IF(F212="","",F212-TODAY())</f>
        <v/>
      </c>
      <c r="I212" s="10" t="n"/>
      <c r="J212" s="10" t="n"/>
      <c r="K212" s="10" t="n"/>
      <c r="L212" s="10" t="n"/>
      <c r="M212" s="10" t="n"/>
      <c r="N212" s="10" t="n"/>
      <c r="O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>
        <f>IF(F213="","",F213-TODAY())</f>
        <v/>
      </c>
      <c r="I213" s="10" t="n"/>
      <c r="J213" s="10" t="n"/>
      <c r="K213" s="10" t="n"/>
      <c r="L213" s="10" t="n"/>
      <c r="M213" s="10" t="n"/>
      <c r="N213" s="10" t="n"/>
      <c r="O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>
        <f>IF(F214="","",F214-TODAY())</f>
        <v/>
      </c>
      <c r="I214" s="10" t="n"/>
      <c r="J214" s="10" t="n"/>
      <c r="K214" s="10" t="n"/>
      <c r="L214" s="10" t="n"/>
      <c r="M214" s="10" t="n"/>
      <c r="N214" s="10" t="n"/>
      <c r="O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>
        <f>IF(F215="","",F215-TODAY())</f>
        <v/>
      </c>
      <c r="I215" s="10" t="n"/>
      <c r="J215" s="10" t="n"/>
      <c r="K215" s="10" t="n"/>
      <c r="L215" s="10" t="n"/>
      <c r="M215" s="10" t="n"/>
      <c r="N215" s="10" t="n"/>
      <c r="O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>
        <f>IF(F216="","",F216-TODAY())</f>
        <v/>
      </c>
      <c r="I216" s="10" t="n"/>
      <c r="J216" s="10" t="n"/>
      <c r="K216" s="10" t="n"/>
      <c r="L216" s="10" t="n"/>
      <c r="M216" s="10" t="n"/>
      <c r="N216" s="10" t="n"/>
      <c r="O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>
        <f>IF(F217="","",F217-TODAY())</f>
        <v/>
      </c>
      <c r="I217" s="10" t="n"/>
      <c r="J217" s="10" t="n"/>
      <c r="K217" s="10" t="n"/>
      <c r="L217" s="10" t="n"/>
      <c r="M217" s="10" t="n"/>
      <c r="N217" s="10" t="n"/>
      <c r="O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>
        <f>IF(F218="","",F218-TODAY())</f>
        <v/>
      </c>
      <c r="I218" s="10" t="n"/>
      <c r="J218" s="10" t="n"/>
      <c r="K218" s="10" t="n"/>
      <c r="L218" s="10" t="n"/>
      <c r="M218" s="10" t="n"/>
      <c r="N218" s="10" t="n"/>
      <c r="O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>
        <f>IF(F219="","",F219-TODAY())</f>
        <v/>
      </c>
      <c r="I219" s="10" t="n"/>
      <c r="J219" s="10" t="n"/>
      <c r="K219" s="10" t="n"/>
      <c r="L219" s="10" t="n"/>
      <c r="M219" s="10" t="n"/>
      <c r="N219" s="10" t="n"/>
      <c r="O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>
        <f>IF(F220="","",F220-TODAY())</f>
        <v/>
      </c>
      <c r="I220" s="10" t="n"/>
      <c r="J220" s="10" t="n"/>
      <c r="K220" s="10" t="n"/>
      <c r="L220" s="10" t="n"/>
      <c r="M220" s="10" t="n"/>
      <c r="N220" s="10" t="n"/>
      <c r="O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>
        <f>IF(F221="","",F221-TODAY())</f>
        <v/>
      </c>
      <c r="I221" s="10" t="n"/>
      <c r="J221" s="10" t="n"/>
      <c r="K221" s="10" t="n"/>
      <c r="L221" s="10" t="n"/>
      <c r="M221" s="10" t="n"/>
      <c r="N221" s="10" t="n"/>
      <c r="O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>
        <f>IF(F222="","",F222-TODAY())</f>
        <v/>
      </c>
      <c r="I222" s="10" t="n"/>
      <c r="J222" s="10" t="n"/>
      <c r="K222" s="10" t="n"/>
      <c r="L222" s="10" t="n"/>
      <c r="M222" s="10" t="n"/>
      <c r="N222" s="10" t="n"/>
      <c r="O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>
        <f>IF(F223="","",F223-TODAY())</f>
        <v/>
      </c>
      <c r="I223" s="10" t="n"/>
      <c r="J223" s="10" t="n"/>
      <c r="K223" s="10" t="n"/>
      <c r="L223" s="10" t="n"/>
      <c r="M223" s="10" t="n"/>
      <c r="N223" s="10" t="n"/>
      <c r="O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>
        <f>IF(F224="","",F224-TODAY())</f>
        <v/>
      </c>
      <c r="I224" s="10" t="n"/>
      <c r="J224" s="10" t="n"/>
      <c r="K224" s="10" t="n"/>
      <c r="L224" s="10" t="n"/>
      <c r="M224" s="10" t="n"/>
      <c r="N224" s="10" t="n"/>
      <c r="O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>
        <f>IF(F225="","",F225-TODAY())</f>
        <v/>
      </c>
      <c r="I225" s="10" t="n"/>
      <c r="J225" s="10" t="n"/>
      <c r="K225" s="10" t="n"/>
      <c r="L225" s="10" t="n"/>
      <c r="M225" s="10" t="n"/>
      <c r="N225" s="10" t="n"/>
      <c r="O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>
        <f>IF(F226="","",F226-TODAY())</f>
        <v/>
      </c>
      <c r="I226" s="10" t="n"/>
      <c r="J226" s="10" t="n"/>
      <c r="K226" s="10" t="n"/>
      <c r="L226" s="10" t="n"/>
      <c r="M226" s="10" t="n"/>
      <c r="N226" s="10" t="n"/>
      <c r="O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>
        <f>IF(F227="","",F227-TODAY())</f>
        <v/>
      </c>
      <c r="I227" s="10" t="n"/>
      <c r="J227" s="10" t="n"/>
      <c r="K227" s="10" t="n"/>
      <c r="L227" s="10" t="n"/>
      <c r="M227" s="10" t="n"/>
      <c r="N227" s="10" t="n"/>
      <c r="O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>
        <f>IF(F228="","",F228-TODAY())</f>
        <v/>
      </c>
      <c r="I228" s="10" t="n"/>
      <c r="J228" s="10" t="n"/>
      <c r="K228" s="10" t="n"/>
      <c r="L228" s="10" t="n"/>
      <c r="M228" s="10" t="n"/>
      <c r="N228" s="10" t="n"/>
      <c r="O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>
        <f>IF(F229="","",F229-TODAY())</f>
        <v/>
      </c>
      <c r="I229" s="10" t="n"/>
      <c r="J229" s="10" t="n"/>
      <c r="K229" s="10" t="n"/>
      <c r="L229" s="10" t="n"/>
      <c r="M229" s="10" t="n"/>
      <c r="N229" s="10" t="n"/>
      <c r="O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>
        <f>IF(F230="","",F230-TODAY())</f>
        <v/>
      </c>
      <c r="I230" s="10" t="n"/>
      <c r="J230" s="10" t="n"/>
      <c r="K230" s="10" t="n"/>
      <c r="L230" s="10" t="n"/>
      <c r="M230" s="10" t="n"/>
      <c r="N230" s="10" t="n"/>
      <c r="O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>
        <f>IF(F231="","",F231-TODAY())</f>
        <v/>
      </c>
      <c r="I231" s="10" t="n"/>
      <c r="J231" s="10" t="n"/>
      <c r="K231" s="10" t="n"/>
      <c r="L231" s="10" t="n"/>
      <c r="M231" s="10" t="n"/>
      <c r="N231" s="10" t="n"/>
      <c r="O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>
        <f>IF(F232="","",F232-TODAY())</f>
        <v/>
      </c>
      <c r="I232" s="10" t="n"/>
      <c r="J232" s="10" t="n"/>
      <c r="K232" s="10" t="n"/>
      <c r="L232" s="10" t="n"/>
      <c r="M232" s="10" t="n"/>
      <c r="N232" s="10" t="n"/>
      <c r="O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>
        <f>IF(F233="","",F233-TODAY())</f>
        <v/>
      </c>
      <c r="I233" s="10" t="n"/>
      <c r="J233" s="10" t="n"/>
      <c r="K233" s="10" t="n"/>
      <c r="L233" s="10" t="n"/>
      <c r="M233" s="10" t="n"/>
      <c r="N233" s="10" t="n"/>
      <c r="O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>
        <f>IF(F234="","",F234-TODAY())</f>
        <v/>
      </c>
      <c r="I234" s="10" t="n"/>
      <c r="J234" s="10" t="n"/>
      <c r="K234" s="10" t="n"/>
      <c r="L234" s="10" t="n"/>
      <c r="M234" s="10" t="n"/>
      <c r="N234" s="10" t="n"/>
      <c r="O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>
        <f>IF(F235="","",F235-TODAY())</f>
        <v/>
      </c>
      <c r="I235" s="10" t="n"/>
      <c r="J235" s="10" t="n"/>
      <c r="K235" s="10" t="n"/>
      <c r="L235" s="10" t="n"/>
      <c r="M235" s="10" t="n"/>
      <c r="N235" s="10" t="n"/>
      <c r="O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>
        <f>IF(F236="","",F236-TODAY())</f>
        <v/>
      </c>
      <c r="I236" s="10" t="n"/>
      <c r="J236" s="10" t="n"/>
      <c r="K236" s="10" t="n"/>
      <c r="L236" s="10" t="n"/>
      <c r="M236" s="10" t="n"/>
      <c r="N236" s="10" t="n"/>
      <c r="O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>
        <f>IF(F237="","",F237-TODAY())</f>
        <v/>
      </c>
      <c r="I237" s="10" t="n"/>
      <c r="J237" s="10" t="n"/>
      <c r="K237" s="10" t="n"/>
      <c r="L237" s="10" t="n"/>
      <c r="M237" s="10" t="n"/>
      <c r="N237" s="10" t="n"/>
      <c r="O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>
        <f>IF(F238="","",F238-TODAY())</f>
        <v/>
      </c>
      <c r="I238" s="10" t="n"/>
      <c r="J238" s="10" t="n"/>
      <c r="K238" s="10" t="n"/>
      <c r="L238" s="10" t="n"/>
      <c r="M238" s="10" t="n"/>
      <c r="N238" s="10" t="n"/>
      <c r="O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>
        <f>IF(F239="","",F239-TODAY())</f>
        <v/>
      </c>
      <c r="I239" s="10" t="n"/>
      <c r="J239" s="10" t="n"/>
      <c r="K239" s="10" t="n"/>
      <c r="L239" s="10" t="n"/>
      <c r="M239" s="10" t="n"/>
      <c r="N239" s="10" t="n"/>
      <c r="O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>
        <f>IF(F240="","",F240-TODAY())</f>
        <v/>
      </c>
      <c r="I240" s="10" t="n"/>
      <c r="J240" s="10" t="n"/>
      <c r="K240" s="10" t="n"/>
      <c r="L240" s="10" t="n"/>
      <c r="M240" s="10" t="n"/>
      <c r="N240" s="10" t="n"/>
      <c r="O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>
        <f>IF(F241="","",F241-TODAY())</f>
        <v/>
      </c>
      <c r="I241" s="10" t="n"/>
      <c r="J241" s="10" t="n"/>
      <c r="K241" s="10" t="n"/>
      <c r="L241" s="10" t="n"/>
      <c r="M241" s="10" t="n"/>
      <c r="N241" s="10" t="n"/>
      <c r="O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>
        <f>IF(F242="","",F242-TODAY())</f>
        <v/>
      </c>
      <c r="I242" s="10" t="n"/>
      <c r="J242" s="10" t="n"/>
      <c r="K242" s="10" t="n"/>
      <c r="L242" s="10" t="n"/>
      <c r="M242" s="10" t="n"/>
      <c r="N242" s="10" t="n"/>
      <c r="O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>
        <f>IF(F243="","",F243-TODAY())</f>
        <v/>
      </c>
      <c r="I243" s="10" t="n"/>
      <c r="J243" s="10" t="n"/>
      <c r="K243" s="10" t="n"/>
      <c r="L243" s="10" t="n"/>
      <c r="M243" s="10" t="n"/>
      <c r="N243" s="10" t="n"/>
      <c r="O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>
        <f>IF(F244="","",F244-TODAY())</f>
        <v/>
      </c>
      <c r="I244" s="10" t="n"/>
      <c r="J244" s="10" t="n"/>
      <c r="K244" s="10" t="n"/>
      <c r="L244" s="10" t="n"/>
      <c r="M244" s="10" t="n"/>
      <c r="N244" s="10" t="n"/>
      <c r="O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>
        <f>IF(F245="","",F245-TODAY())</f>
        <v/>
      </c>
      <c r="I245" s="10" t="n"/>
      <c r="J245" s="10" t="n"/>
      <c r="K245" s="10" t="n"/>
      <c r="L245" s="10" t="n"/>
      <c r="M245" s="10" t="n"/>
      <c r="N245" s="10" t="n"/>
      <c r="O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>
        <f>IF(F246="","",F246-TODAY())</f>
        <v/>
      </c>
      <c r="I246" s="10" t="n"/>
      <c r="J246" s="10" t="n"/>
      <c r="K246" s="10" t="n"/>
      <c r="L246" s="10" t="n"/>
      <c r="M246" s="10" t="n"/>
      <c r="N246" s="10" t="n"/>
      <c r="O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>
        <f>IF(F247="","",F247-TODAY())</f>
        <v/>
      </c>
      <c r="I247" s="10" t="n"/>
      <c r="J247" s="10" t="n"/>
      <c r="K247" s="10" t="n"/>
      <c r="L247" s="10" t="n"/>
      <c r="M247" s="10" t="n"/>
      <c r="N247" s="10" t="n"/>
      <c r="O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>
        <f>IF(F248="","",F248-TODAY())</f>
        <v/>
      </c>
      <c r="I248" s="10" t="n"/>
      <c r="J248" s="10" t="n"/>
      <c r="K248" s="10" t="n"/>
      <c r="L248" s="10" t="n"/>
      <c r="M248" s="10" t="n"/>
      <c r="N248" s="10" t="n"/>
      <c r="O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>
        <f>IF(F249="","",F249-TODAY())</f>
        <v/>
      </c>
      <c r="I249" s="10" t="n"/>
      <c r="J249" s="10" t="n"/>
      <c r="K249" s="10" t="n"/>
      <c r="L249" s="10" t="n"/>
      <c r="M249" s="10" t="n"/>
      <c r="N249" s="10" t="n"/>
      <c r="O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>
        <f>IF(F250="","",F250-TODAY())</f>
        <v/>
      </c>
      <c r="I250" s="10" t="n"/>
      <c r="J250" s="10" t="n"/>
      <c r="K250" s="10" t="n"/>
      <c r="L250" s="10" t="n"/>
      <c r="M250" s="10" t="n"/>
      <c r="N250" s="10" t="n"/>
      <c r="O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>
        <f>IF(F251="","",F251-TODAY())</f>
        <v/>
      </c>
      <c r="I251" s="10" t="n"/>
      <c r="J251" s="10" t="n"/>
      <c r="K251" s="10" t="n"/>
      <c r="L251" s="10" t="n"/>
      <c r="M251" s="10" t="n"/>
      <c r="N251" s="10" t="n"/>
      <c r="O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>
        <f>IF(F252="","",F252-TODAY())</f>
        <v/>
      </c>
      <c r="I252" s="10" t="n"/>
      <c r="J252" s="10" t="n"/>
      <c r="K252" s="10" t="n"/>
      <c r="L252" s="10" t="n"/>
      <c r="M252" s="10" t="n"/>
      <c r="N252" s="10" t="n"/>
      <c r="O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>
        <f>IF(F253="","",F253-TODAY())</f>
        <v/>
      </c>
      <c r="I253" s="10" t="n"/>
      <c r="J253" s="10" t="n"/>
      <c r="K253" s="10" t="n"/>
      <c r="L253" s="10" t="n"/>
      <c r="M253" s="10" t="n"/>
      <c r="N253" s="10" t="n"/>
      <c r="O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>
        <f>IF(F254="","",F254-TODAY())</f>
        <v/>
      </c>
      <c r="I254" s="10" t="n"/>
      <c r="J254" s="10" t="n"/>
      <c r="K254" s="10" t="n"/>
      <c r="L254" s="10" t="n"/>
      <c r="M254" s="10" t="n"/>
      <c r="N254" s="10" t="n"/>
      <c r="O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>
        <f>IF(F255="","",F255-TODAY())</f>
        <v/>
      </c>
      <c r="I255" s="10" t="n"/>
      <c r="J255" s="10" t="n"/>
      <c r="K255" s="10" t="n"/>
      <c r="L255" s="10" t="n"/>
      <c r="M255" s="10" t="n"/>
      <c r="N255" s="10" t="n"/>
      <c r="O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>
        <f>IF(F256="","",F256-TODAY())</f>
        <v/>
      </c>
      <c r="I256" s="10" t="n"/>
      <c r="J256" s="10" t="n"/>
      <c r="K256" s="10" t="n"/>
      <c r="L256" s="10" t="n"/>
      <c r="M256" s="10" t="n"/>
      <c r="N256" s="10" t="n"/>
      <c r="O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>
        <f>IF(F257="","",F257-TODAY())</f>
        <v/>
      </c>
      <c r="I257" s="10" t="n"/>
      <c r="J257" s="10" t="n"/>
      <c r="K257" s="10" t="n"/>
      <c r="L257" s="10" t="n"/>
      <c r="M257" s="10" t="n"/>
      <c r="N257" s="10" t="n"/>
      <c r="O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>
        <f>IF(F258="","",F258-TODAY())</f>
        <v/>
      </c>
      <c r="I258" s="10" t="n"/>
      <c r="J258" s="10" t="n"/>
      <c r="K258" s="10" t="n"/>
      <c r="L258" s="10" t="n"/>
      <c r="M258" s="10" t="n"/>
      <c r="N258" s="10" t="n"/>
      <c r="O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>
        <f>IF(F259="","",F259-TODAY())</f>
        <v/>
      </c>
      <c r="I259" s="10" t="n"/>
      <c r="J259" s="10" t="n"/>
      <c r="K259" s="10" t="n"/>
      <c r="L259" s="10" t="n"/>
      <c r="M259" s="10" t="n"/>
      <c r="N259" s="10" t="n"/>
      <c r="O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>
        <f>IF(F260="","",F260-TODAY())</f>
        <v/>
      </c>
      <c r="I260" s="10" t="n"/>
      <c r="J260" s="10" t="n"/>
      <c r="K260" s="10" t="n"/>
      <c r="L260" s="10" t="n"/>
      <c r="M260" s="10" t="n"/>
      <c r="N260" s="10" t="n"/>
      <c r="O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>
        <f>IF(F261="","",F261-TODAY())</f>
        <v/>
      </c>
      <c r="I261" s="10" t="n"/>
      <c r="J261" s="10" t="n"/>
      <c r="K261" s="10" t="n"/>
      <c r="L261" s="10" t="n"/>
      <c r="M261" s="10" t="n"/>
      <c r="N261" s="10" t="n"/>
      <c r="O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>
        <f>IF(F262="","",F262-TODAY())</f>
        <v/>
      </c>
      <c r="I262" s="10" t="n"/>
      <c r="J262" s="10" t="n"/>
      <c r="K262" s="10" t="n"/>
      <c r="L262" s="10" t="n"/>
      <c r="M262" s="10" t="n"/>
      <c r="N262" s="10" t="n"/>
      <c r="O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>
        <f>IF(F263="","",F263-TODAY())</f>
        <v/>
      </c>
      <c r="I263" s="10" t="n"/>
      <c r="J263" s="10" t="n"/>
      <c r="K263" s="10" t="n"/>
      <c r="L263" s="10" t="n"/>
      <c r="M263" s="10" t="n"/>
      <c r="N263" s="10" t="n"/>
      <c r="O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>
        <f>IF(F264="","",F264-TODAY())</f>
        <v/>
      </c>
      <c r="I264" s="10" t="n"/>
      <c r="J264" s="10" t="n"/>
      <c r="K264" s="10" t="n"/>
      <c r="L264" s="10" t="n"/>
      <c r="M264" s="10" t="n"/>
      <c r="N264" s="10" t="n"/>
      <c r="O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>
        <f>IF(F265="","",F265-TODAY())</f>
        <v/>
      </c>
      <c r="I265" s="10" t="n"/>
      <c r="J265" s="10" t="n"/>
      <c r="K265" s="10" t="n"/>
      <c r="L265" s="10" t="n"/>
      <c r="M265" s="10" t="n"/>
      <c r="N265" s="10" t="n"/>
      <c r="O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>
        <f>IF(F266="","",F266-TODAY())</f>
        <v/>
      </c>
      <c r="I266" s="10" t="n"/>
      <c r="J266" s="10" t="n"/>
      <c r="K266" s="10" t="n"/>
      <c r="L266" s="10" t="n"/>
      <c r="M266" s="10" t="n"/>
      <c r="N266" s="10" t="n"/>
      <c r="O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>
        <f>IF(F267="","",F267-TODAY())</f>
        <v/>
      </c>
      <c r="I267" s="10" t="n"/>
      <c r="J267" s="10" t="n"/>
      <c r="K267" s="10" t="n"/>
      <c r="L267" s="10" t="n"/>
      <c r="M267" s="10" t="n"/>
      <c r="N267" s="10" t="n"/>
      <c r="O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>
        <f>IF(F268="","",F268-TODAY())</f>
        <v/>
      </c>
      <c r="I268" s="10" t="n"/>
      <c r="J268" s="10" t="n"/>
      <c r="K268" s="10" t="n"/>
      <c r="L268" s="10" t="n"/>
      <c r="M268" s="10" t="n"/>
      <c r="N268" s="10" t="n"/>
      <c r="O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>
        <f>IF(F269="","",F269-TODAY())</f>
        <v/>
      </c>
      <c r="I269" s="10" t="n"/>
      <c r="J269" s="10" t="n"/>
      <c r="K269" s="10" t="n"/>
      <c r="L269" s="10" t="n"/>
      <c r="M269" s="10" t="n"/>
      <c r="N269" s="10" t="n"/>
      <c r="O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>
        <f>IF(F270="","",F270-TODAY())</f>
        <v/>
      </c>
      <c r="I270" s="10" t="n"/>
      <c r="J270" s="10" t="n"/>
      <c r="K270" s="10" t="n"/>
      <c r="L270" s="10" t="n"/>
      <c r="M270" s="10" t="n"/>
      <c r="N270" s="10" t="n"/>
      <c r="O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>
        <f>IF(F271="","",F271-TODAY())</f>
        <v/>
      </c>
      <c r="I271" s="10" t="n"/>
      <c r="J271" s="10" t="n"/>
      <c r="K271" s="10" t="n"/>
      <c r="L271" s="10" t="n"/>
      <c r="M271" s="10" t="n"/>
      <c r="N271" s="10" t="n"/>
      <c r="O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>
        <f>IF(F272="","",F272-TODAY())</f>
        <v/>
      </c>
      <c r="I272" s="10" t="n"/>
      <c r="J272" s="10" t="n"/>
      <c r="K272" s="10" t="n"/>
      <c r="L272" s="10" t="n"/>
      <c r="M272" s="10" t="n"/>
      <c r="N272" s="10" t="n"/>
      <c r="O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>
        <f>IF(F273="","",F273-TODAY())</f>
        <v/>
      </c>
      <c r="I273" s="10" t="n"/>
      <c r="J273" s="10" t="n"/>
      <c r="K273" s="10" t="n"/>
      <c r="L273" s="10" t="n"/>
      <c r="M273" s="10" t="n"/>
      <c r="N273" s="10" t="n"/>
      <c r="O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>
        <f>IF(F274="","",F274-TODAY())</f>
        <v/>
      </c>
      <c r="I274" s="10" t="n"/>
      <c r="J274" s="10" t="n"/>
      <c r="K274" s="10" t="n"/>
      <c r="L274" s="10" t="n"/>
      <c r="M274" s="10" t="n"/>
      <c r="N274" s="10" t="n"/>
      <c r="O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>
        <f>IF(F275="","",F275-TODAY())</f>
        <v/>
      </c>
      <c r="I275" s="10" t="n"/>
      <c r="J275" s="10" t="n"/>
      <c r="K275" s="10" t="n"/>
      <c r="L275" s="10" t="n"/>
      <c r="M275" s="10" t="n"/>
      <c r="N275" s="10" t="n"/>
      <c r="O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>
        <f>IF(F276="","",F276-TODAY())</f>
        <v/>
      </c>
      <c r="I276" s="10" t="n"/>
      <c r="J276" s="10" t="n"/>
      <c r="K276" s="10" t="n"/>
      <c r="L276" s="10" t="n"/>
      <c r="M276" s="10" t="n"/>
      <c r="N276" s="10" t="n"/>
      <c r="O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>
        <f>IF(F277="","",F277-TODAY())</f>
        <v/>
      </c>
      <c r="I277" s="10" t="n"/>
      <c r="J277" s="10" t="n"/>
      <c r="K277" s="10" t="n"/>
      <c r="L277" s="10" t="n"/>
      <c r="M277" s="10" t="n"/>
      <c r="N277" s="10" t="n"/>
      <c r="O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>
        <f>IF(F278="","",F278-TODAY())</f>
        <v/>
      </c>
      <c r="I278" s="10" t="n"/>
      <c r="J278" s="10" t="n"/>
      <c r="K278" s="10" t="n"/>
      <c r="L278" s="10" t="n"/>
      <c r="M278" s="10" t="n"/>
      <c r="N278" s="10" t="n"/>
      <c r="O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>
        <f>IF(F279="","",F279-TODAY())</f>
        <v/>
      </c>
      <c r="I279" s="10" t="n"/>
      <c r="J279" s="10" t="n"/>
      <c r="K279" s="10" t="n"/>
      <c r="L279" s="10" t="n"/>
      <c r="M279" s="10" t="n"/>
      <c r="N279" s="10" t="n"/>
      <c r="O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>
        <f>IF(F280="","",F280-TODAY())</f>
        <v/>
      </c>
      <c r="I280" s="10" t="n"/>
      <c r="J280" s="10" t="n"/>
      <c r="K280" s="10" t="n"/>
      <c r="L280" s="10" t="n"/>
      <c r="M280" s="10" t="n"/>
      <c r="N280" s="10" t="n"/>
      <c r="O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>
        <f>IF(F281="","",F281-TODAY())</f>
        <v/>
      </c>
      <c r="I281" s="10" t="n"/>
      <c r="J281" s="10" t="n"/>
      <c r="K281" s="10" t="n"/>
      <c r="L281" s="10" t="n"/>
      <c r="M281" s="10" t="n"/>
      <c r="N281" s="10" t="n"/>
      <c r="O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>
        <f>IF(F282="","",F282-TODAY())</f>
        <v/>
      </c>
      <c r="I282" s="10" t="n"/>
      <c r="J282" s="10" t="n"/>
      <c r="K282" s="10" t="n"/>
      <c r="L282" s="10" t="n"/>
      <c r="M282" s="10" t="n"/>
      <c r="N282" s="10" t="n"/>
      <c r="O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>
        <f>IF(F283="","",F283-TODAY())</f>
        <v/>
      </c>
      <c r="I283" s="10" t="n"/>
      <c r="J283" s="10" t="n"/>
      <c r="K283" s="10" t="n"/>
      <c r="L283" s="10" t="n"/>
      <c r="M283" s="10" t="n"/>
      <c r="N283" s="10" t="n"/>
      <c r="O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>
        <f>IF(F284="","",F284-TODAY())</f>
        <v/>
      </c>
      <c r="I284" s="10" t="n"/>
      <c r="J284" s="10" t="n"/>
      <c r="K284" s="10" t="n"/>
      <c r="L284" s="10" t="n"/>
      <c r="M284" s="10" t="n"/>
      <c r="N284" s="10" t="n"/>
      <c r="O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>
        <f>IF(F285="","",F285-TODAY())</f>
        <v/>
      </c>
      <c r="I285" s="10" t="n"/>
      <c r="J285" s="10" t="n"/>
      <c r="K285" s="10" t="n"/>
      <c r="L285" s="10" t="n"/>
      <c r="M285" s="10" t="n"/>
      <c r="N285" s="10" t="n"/>
      <c r="O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>
        <f>IF(F286="","",F286-TODAY())</f>
        <v/>
      </c>
      <c r="I286" s="10" t="n"/>
      <c r="J286" s="10" t="n"/>
      <c r="K286" s="10" t="n"/>
      <c r="L286" s="10" t="n"/>
      <c r="M286" s="10" t="n"/>
      <c r="N286" s="10" t="n"/>
      <c r="O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>
        <f>IF(F287="","",F287-TODAY())</f>
        <v/>
      </c>
      <c r="I287" s="10" t="n"/>
      <c r="J287" s="10" t="n"/>
      <c r="K287" s="10" t="n"/>
      <c r="L287" s="10" t="n"/>
      <c r="M287" s="10" t="n"/>
      <c r="N287" s="10" t="n"/>
      <c r="O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>
        <f>IF(F288="","",F288-TODAY())</f>
        <v/>
      </c>
      <c r="I288" s="10" t="n"/>
      <c r="J288" s="10" t="n"/>
      <c r="K288" s="10" t="n"/>
      <c r="L288" s="10" t="n"/>
      <c r="M288" s="10" t="n"/>
      <c r="N288" s="10" t="n"/>
      <c r="O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>
        <f>IF(F289="","",F289-TODAY())</f>
        <v/>
      </c>
      <c r="I289" s="10" t="n"/>
      <c r="J289" s="10" t="n"/>
      <c r="K289" s="10" t="n"/>
      <c r="L289" s="10" t="n"/>
      <c r="M289" s="10" t="n"/>
      <c r="N289" s="10" t="n"/>
      <c r="O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>
        <f>IF(F290="","",F290-TODAY())</f>
        <v/>
      </c>
      <c r="I290" s="10" t="n"/>
      <c r="J290" s="10" t="n"/>
      <c r="K290" s="10" t="n"/>
      <c r="L290" s="10" t="n"/>
      <c r="M290" s="10" t="n"/>
      <c r="N290" s="10" t="n"/>
      <c r="O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>
        <f>IF(F291="","",F291-TODAY())</f>
        <v/>
      </c>
      <c r="I291" s="10" t="n"/>
      <c r="J291" s="10" t="n"/>
      <c r="K291" s="10" t="n"/>
      <c r="L291" s="10" t="n"/>
      <c r="M291" s="10" t="n"/>
      <c r="N291" s="10" t="n"/>
      <c r="O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>
        <f>IF(F292="","",F292-TODAY())</f>
        <v/>
      </c>
      <c r="I292" s="10" t="n"/>
      <c r="J292" s="10" t="n"/>
      <c r="K292" s="10" t="n"/>
      <c r="L292" s="10" t="n"/>
      <c r="M292" s="10" t="n"/>
      <c r="N292" s="10" t="n"/>
      <c r="O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>
        <f>IF(F293="","",F293-TODAY())</f>
        <v/>
      </c>
      <c r="I293" s="10" t="n"/>
      <c r="J293" s="10" t="n"/>
      <c r="K293" s="10" t="n"/>
      <c r="L293" s="10" t="n"/>
      <c r="M293" s="10" t="n"/>
      <c r="N293" s="10" t="n"/>
      <c r="O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>
        <f>IF(F294="","",F294-TODAY())</f>
        <v/>
      </c>
      <c r="I294" s="10" t="n"/>
      <c r="J294" s="10" t="n"/>
      <c r="K294" s="10" t="n"/>
      <c r="L294" s="10" t="n"/>
      <c r="M294" s="10" t="n"/>
      <c r="N294" s="10" t="n"/>
      <c r="O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>
        <f>IF(F295="","",F295-TODAY())</f>
        <v/>
      </c>
      <c r="I295" s="10" t="n"/>
      <c r="J295" s="10" t="n"/>
      <c r="K295" s="10" t="n"/>
      <c r="L295" s="10" t="n"/>
      <c r="M295" s="10" t="n"/>
      <c r="N295" s="10" t="n"/>
      <c r="O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>
        <f>IF(F296="","",F296-TODAY())</f>
        <v/>
      </c>
      <c r="I296" s="10" t="n"/>
      <c r="J296" s="10" t="n"/>
      <c r="K296" s="10" t="n"/>
      <c r="L296" s="10" t="n"/>
      <c r="M296" s="10" t="n"/>
      <c r="N296" s="10" t="n"/>
      <c r="O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>
        <f>IF(F297="","",F297-TODAY())</f>
        <v/>
      </c>
      <c r="I297" s="10" t="n"/>
      <c r="J297" s="10" t="n"/>
      <c r="K297" s="10" t="n"/>
      <c r="L297" s="10" t="n"/>
      <c r="M297" s="10" t="n"/>
      <c r="N297" s="10" t="n"/>
      <c r="O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>
        <f>IF(F298="","",F298-TODAY())</f>
        <v/>
      </c>
      <c r="I298" s="10" t="n"/>
      <c r="J298" s="10" t="n"/>
      <c r="K298" s="10" t="n"/>
      <c r="L298" s="10" t="n"/>
      <c r="M298" s="10" t="n"/>
      <c r="N298" s="10" t="n"/>
      <c r="O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>
        <f>IF(F299="","",F299-TODAY())</f>
        <v/>
      </c>
      <c r="I299" s="10" t="n"/>
      <c r="J299" s="10" t="n"/>
      <c r="K299" s="10" t="n"/>
      <c r="L299" s="10" t="n"/>
      <c r="M299" s="10" t="n"/>
      <c r="N299" s="10" t="n"/>
      <c r="O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>
        <f>IF(F300="","",F300-TODAY())</f>
        <v/>
      </c>
      <c r="I300" s="10" t="n"/>
      <c r="J300" s="10" t="n"/>
      <c r="K300" s="10" t="n"/>
      <c r="L300" s="10" t="n"/>
      <c r="M300" s="10" t="n"/>
      <c r="N300" s="10" t="n"/>
      <c r="O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>
        <f>IF(F301="","",F301-TODAY())</f>
        <v/>
      </c>
      <c r="I301" s="10" t="n"/>
      <c r="J301" s="10" t="n"/>
      <c r="K301" s="10" t="n"/>
      <c r="L301" s="10" t="n"/>
      <c r="M301" s="10" t="n"/>
      <c r="N301" s="10" t="n"/>
      <c r="O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>
        <f>IF(F302="","",F302-TODAY())</f>
        <v/>
      </c>
      <c r="I302" s="10" t="n"/>
      <c r="J302" s="10" t="n"/>
      <c r="K302" s="10" t="n"/>
      <c r="L302" s="10" t="n"/>
      <c r="M302" s="10" t="n"/>
      <c r="N302" s="10" t="n"/>
      <c r="O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>
        <f>IF(F303="","",F303-TODAY())</f>
        <v/>
      </c>
      <c r="I303" s="10" t="n"/>
      <c r="J303" s="10" t="n"/>
      <c r="K303" s="10" t="n"/>
      <c r="L303" s="10" t="n"/>
      <c r="M303" s="10" t="n"/>
      <c r="N303" s="10" t="n"/>
      <c r="O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>
        <f>IF(F304="","",F304-TODAY())</f>
        <v/>
      </c>
      <c r="I304" s="10" t="n"/>
      <c r="J304" s="10" t="n"/>
      <c r="K304" s="10" t="n"/>
      <c r="L304" s="10" t="n"/>
      <c r="M304" s="10" t="n"/>
      <c r="N304" s="10" t="n"/>
      <c r="O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>
        <f>IF(F305="","",F305-TODAY())</f>
        <v/>
      </c>
      <c r="I305" s="10" t="n"/>
      <c r="J305" s="10" t="n"/>
      <c r="K305" s="10" t="n"/>
      <c r="L305" s="10" t="n"/>
      <c r="M305" s="10" t="n"/>
      <c r="N305" s="10" t="n"/>
      <c r="O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>
        <f>IF(F306="","",F306-TODAY())</f>
        <v/>
      </c>
      <c r="I306" s="10" t="n"/>
      <c r="J306" s="10" t="n"/>
      <c r="K306" s="10" t="n"/>
      <c r="L306" s="10" t="n"/>
      <c r="M306" s="10" t="n"/>
      <c r="N306" s="10" t="n"/>
      <c r="O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>
        <f>IF(F307="","",F307-TODAY())</f>
        <v/>
      </c>
      <c r="I307" s="10" t="n"/>
      <c r="J307" s="10" t="n"/>
      <c r="K307" s="10" t="n"/>
      <c r="L307" s="10" t="n"/>
      <c r="M307" s="10" t="n"/>
      <c r="N307" s="10" t="n"/>
      <c r="O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>
        <f>IF(F308="","",F308-TODAY())</f>
        <v/>
      </c>
      <c r="I308" s="10" t="n"/>
      <c r="J308" s="10" t="n"/>
      <c r="K308" s="10" t="n"/>
      <c r="L308" s="10" t="n"/>
      <c r="M308" s="10" t="n"/>
      <c r="N308" s="10" t="n"/>
      <c r="O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>
        <f>IF(F309="","",F309-TODAY())</f>
        <v/>
      </c>
      <c r="I309" s="10" t="n"/>
      <c r="J309" s="10" t="n"/>
      <c r="K309" s="10" t="n"/>
      <c r="L309" s="10" t="n"/>
      <c r="M309" s="10" t="n"/>
      <c r="N309" s="10" t="n"/>
      <c r="O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>
        <f>IF(F310="","",F310-TODAY())</f>
        <v/>
      </c>
      <c r="I310" s="10" t="n"/>
      <c r="J310" s="10" t="n"/>
      <c r="K310" s="10" t="n"/>
      <c r="L310" s="10" t="n"/>
      <c r="M310" s="10" t="n"/>
      <c r="N310" s="10" t="n"/>
      <c r="O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>
        <f>IF(F311="","",F311-TODAY())</f>
        <v/>
      </c>
      <c r="I311" s="10" t="n"/>
      <c r="J311" s="10" t="n"/>
      <c r="K311" s="10" t="n"/>
      <c r="L311" s="10" t="n"/>
      <c r="M311" s="10" t="n"/>
      <c r="N311" s="10" t="n"/>
      <c r="O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>
        <f>IF(F312="","",F312-TODAY())</f>
        <v/>
      </c>
      <c r="I312" s="10" t="n"/>
      <c r="J312" s="10" t="n"/>
      <c r="K312" s="10" t="n"/>
      <c r="L312" s="10" t="n"/>
      <c r="M312" s="10" t="n"/>
      <c r="N312" s="10" t="n"/>
      <c r="O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>
        <f>IF(F313="","",F313-TODAY())</f>
        <v/>
      </c>
      <c r="I313" s="10" t="n"/>
      <c r="J313" s="10" t="n"/>
      <c r="K313" s="10" t="n"/>
      <c r="L313" s="10" t="n"/>
      <c r="M313" s="10" t="n"/>
      <c r="N313" s="10" t="n"/>
      <c r="O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>
        <f>IF(F314="","",F314-TODAY())</f>
        <v/>
      </c>
      <c r="I314" s="10" t="n"/>
      <c r="J314" s="10" t="n"/>
      <c r="K314" s="10" t="n"/>
      <c r="L314" s="10" t="n"/>
      <c r="M314" s="10" t="n"/>
      <c r="N314" s="10" t="n"/>
      <c r="O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>
        <f>IF(F315="","",F315-TODAY())</f>
        <v/>
      </c>
      <c r="I315" s="10" t="n"/>
      <c r="J315" s="10" t="n"/>
      <c r="K315" s="10" t="n"/>
      <c r="L315" s="10" t="n"/>
      <c r="M315" s="10" t="n"/>
      <c r="N315" s="10" t="n"/>
      <c r="O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>
        <f>IF(F316="","",F316-TODAY())</f>
        <v/>
      </c>
      <c r="I316" s="10" t="n"/>
      <c r="J316" s="10" t="n"/>
      <c r="K316" s="10" t="n"/>
      <c r="L316" s="10" t="n"/>
      <c r="M316" s="10" t="n"/>
      <c r="N316" s="10" t="n"/>
      <c r="O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>
        <f>IF(F317="","",F317-TODAY())</f>
        <v/>
      </c>
      <c r="I317" s="10" t="n"/>
      <c r="J317" s="10" t="n"/>
      <c r="K317" s="10" t="n"/>
      <c r="L317" s="10" t="n"/>
      <c r="M317" s="10" t="n"/>
      <c r="N317" s="10" t="n"/>
      <c r="O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>
        <f>IF(F318="","",F318-TODAY())</f>
        <v/>
      </c>
      <c r="I318" s="10" t="n"/>
      <c r="J318" s="10" t="n"/>
      <c r="K318" s="10" t="n"/>
      <c r="L318" s="10" t="n"/>
      <c r="M318" s="10" t="n"/>
      <c r="N318" s="10" t="n"/>
      <c r="O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>
        <f>IF(F319="","",F319-TODAY())</f>
        <v/>
      </c>
      <c r="I319" s="10" t="n"/>
      <c r="J319" s="10" t="n"/>
      <c r="K319" s="10" t="n"/>
      <c r="L319" s="10" t="n"/>
      <c r="M319" s="10" t="n"/>
      <c r="N319" s="10" t="n"/>
      <c r="O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>
        <f>IF(F320="","",F320-TODAY())</f>
        <v/>
      </c>
      <c r="I320" s="10" t="n"/>
      <c r="J320" s="10" t="n"/>
      <c r="K320" s="10" t="n"/>
      <c r="L320" s="10" t="n"/>
      <c r="M320" s="10" t="n"/>
      <c r="N320" s="10" t="n"/>
      <c r="O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>
        <f>IF(F321="","",F321-TODAY())</f>
        <v/>
      </c>
      <c r="I321" s="10" t="n"/>
      <c r="J321" s="10" t="n"/>
      <c r="K321" s="10" t="n"/>
      <c r="L321" s="10" t="n"/>
      <c r="M321" s="10" t="n"/>
      <c r="N321" s="10" t="n"/>
      <c r="O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>
        <f>IF(F322="","",F322-TODAY())</f>
        <v/>
      </c>
      <c r="I322" s="10" t="n"/>
      <c r="J322" s="10" t="n"/>
      <c r="K322" s="10" t="n"/>
      <c r="L322" s="10" t="n"/>
      <c r="M322" s="10" t="n"/>
      <c r="N322" s="10" t="n"/>
      <c r="O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>
        <f>IF(F323="","",F323-TODAY())</f>
        <v/>
      </c>
      <c r="I323" s="10" t="n"/>
      <c r="J323" s="10" t="n"/>
      <c r="K323" s="10" t="n"/>
      <c r="L323" s="10" t="n"/>
      <c r="M323" s="10" t="n"/>
      <c r="N323" s="10" t="n"/>
      <c r="O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>
        <f>IF(F324="","",F324-TODAY())</f>
        <v/>
      </c>
      <c r="I324" s="10" t="n"/>
      <c r="J324" s="10" t="n"/>
      <c r="K324" s="10" t="n"/>
      <c r="L324" s="10" t="n"/>
      <c r="M324" s="10" t="n"/>
      <c r="N324" s="10" t="n"/>
      <c r="O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>
        <f>IF(F325="","",F325-TODAY())</f>
        <v/>
      </c>
      <c r="I325" s="10" t="n"/>
      <c r="J325" s="10" t="n"/>
      <c r="K325" s="10" t="n"/>
      <c r="L325" s="10" t="n"/>
      <c r="M325" s="10" t="n"/>
      <c r="N325" s="10" t="n"/>
      <c r="O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>
        <f>IF(F326="","",F326-TODAY())</f>
        <v/>
      </c>
      <c r="I326" s="10" t="n"/>
      <c r="J326" s="10" t="n"/>
      <c r="K326" s="10" t="n"/>
      <c r="L326" s="10" t="n"/>
      <c r="M326" s="10" t="n"/>
      <c r="N326" s="10" t="n"/>
      <c r="O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>
        <f>IF(F327="","",F327-TODAY())</f>
        <v/>
      </c>
      <c r="I327" s="10" t="n"/>
      <c r="J327" s="10" t="n"/>
      <c r="K327" s="10" t="n"/>
      <c r="L327" s="10" t="n"/>
      <c r="M327" s="10" t="n"/>
      <c r="N327" s="10" t="n"/>
      <c r="O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>
        <f>IF(F328="","",F328-TODAY())</f>
        <v/>
      </c>
      <c r="I328" s="10" t="n"/>
      <c r="J328" s="10" t="n"/>
      <c r="K328" s="10" t="n"/>
      <c r="L328" s="10" t="n"/>
      <c r="M328" s="10" t="n"/>
      <c r="N328" s="10" t="n"/>
      <c r="O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>
        <f>IF(F329="","",F329-TODAY())</f>
        <v/>
      </c>
      <c r="I329" s="10" t="n"/>
      <c r="J329" s="10" t="n"/>
      <c r="K329" s="10" t="n"/>
      <c r="L329" s="10" t="n"/>
      <c r="M329" s="10" t="n"/>
      <c r="N329" s="10" t="n"/>
      <c r="O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>
        <f>IF(F330="","",F330-TODAY())</f>
        <v/>
      </c>
      <c r="I330" s="10" t="n"/>
      <c r="J330" s="10" t="n"/>
      <c r="K330" s="10" t="n"/>
      <c r="L330" s="10" t="n"/>
      <c r="M330" s="10" t="n"/>
      <c r="N330" s="10" t="n"/>
      <c r="O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>
        <f>IF(F331="","",F331-TODAY())</f>
        <v/>
      </c>
      <c r="I331" s="10" t="n"/>
      <c r="J331" s="10" t="n"/>
      <c r="K331" s="10" t="n"/>
      <c r="L331" s="10" t="n"/>
      <c r="M331" s="10" t="n"/>
      <c r="N331" s="10" t="n"/>
      <c r="O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>
        <f>IF(F332="","",F332-TODAY())</f>
        <v/>
      </c>
      <c r="I332" s="10" t="n"/>
      <c r="J332" s="10" t="n"/>
      <c r="K332" s="10" t="n"/>
      <c r="L332" s="10" t="n"/>
      <c r="M332" s="10" t="n"/>
      <c r="N332" s="10" t="n"/>
      <c r="O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>
        <f>IF(F333="","",F333-TODAY())</f>
        <v/>
      </c>
      <c r="I333" s="10" t="n"/>
      <c r="J333" s="10" t="n"/>
      <c r="K333" s="10" t="n"/>
      <c r="L333" s="10" t="n"/>
      <c r="M333" s="10" t="n"/>
      <c r="N333" s="10" t="n"/>
      <c r="O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>
        <f>IF(F334="","",F334-TODAY())</f>
        <v/>
      </c>
      <c r="I334" s="10" t="n"/>
      <c r="J334" s="10" t="n"/>
      <c r="K334" s="10" t="n"/>
      <c r="L334" s="10" t="n"/>
      <c r="M334" s="10" t="n"/>
      <c r="N334" s="10" t="n"/>
      <c r="O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>
        <f>IF(F335="","",F335-TODAY())</f>
        <v/>
      </c>
      <c r="I335" s="10" t="n"/>
      <c r="J335" s="10" t="n"/>
      <c r="K335" s="10" t="n"/>
      <c r="L335" s="10" t="n"/>
      <c r="M335" s="10" t="n"/>
      <c r="N335" s="10" t="n"/>
      <c r="O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>
        <f>IF(F336="","",F336-TODAY())</f>
        <v/>
      </c>
      <c r="I336" s="10" t="n"/>
      <c r="J336" s="10" t="n"/>
      <c r="K336" s="10" t="n"/>
      <c r="L336" s="10" t="n"/>
      <c r="M336" s="10" t="n"/>
      <c r="N336" s="10" t="n"/>
      <c r="O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>
        <f>IF(F337="","",F337-TODAY())</f>
        <v/>
      </c>
      <c r="I337" s="10" t="n"/>
      <c r="J337" s="10" t="n"/>
      <c r="K337" s="10" t="n"/>
      <c r="L337" s="10" t="n"/>
      <c r="M337" s="10" t="n"/>
      <c r="N337" s="10" t="n"/>
      <c r="O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>
        <f>IF(F338="","",F338-TODAY())</f>
        <v/>
      </c>
      <c r="I338" s="10" t="n"/>
      <c r="J338" s="10" t="n"/>
      <c r="K338" s="10" t="n"/>
      <c r="L338" s="10" t="n"/>
      <c r="M338" s="10" t="n"/>
      <c r="N338" s="10" t="n"/>
      <c r="O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>
        <f>IF(F339="","",F339-TODAY())</f>
        <v/>
      </c>
      <c r="I339" s="10" t="n"/>
      <c r="J339" s="10" t="n"/>
      <c r="K339" s="10" t="n"/>
      <c r="L339" s="10" t="n"/>
      <c r="M339" s="10" t="n"/>
      <c r="N339" s="10" t="n"/>
      <c r="O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>
        <f>IF(F340="","",F340-TODAY())</f>
        <v/>
      </c>
      <c r="I340" s="10" t="n"/>
      <c r="J340" s="10" t="n"/>
      <c r="K340" s="10" t="n"/>
      <c r="L340" s="10" t="n"/>
      <c r="M340" s="10" t="n"/>
      <c r="N340" s="10" t="n"/>
      <c r="O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>
        <f>IF(F341="","",F341-TODAY())</f>
        <v/>
      </c>
      <c r="I341" s="10" t="n"/>
      <c r="J341" s="10" t="n"/>
      <c r="K341" s="10" t="n"/>
      <c r="L341" s="10" t="n"/>
      <c r="M341" s="10" t="n"/>
      <c r="N341" s="10" t="n"/>
      <c r="O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>
        <f>IF(F342="","",F342-TODAY())</f>
        <v/>
      </c>
      <c r="I342" s="10" t="n"/>
      <c r="J342" s="10" t="n"/>
      <c r="K342" s="10" t="n"/>
      <c r="L342" s="10" t="n"/>
      <c r="M342" s="10" t="n"/>
      <c r="N342" s="10" t="n"/>
      <c r="O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>
        <f>IF(F343="","",F343-TODAY())</f>
        <v/>
      </c>
      <c r="I343" s="10" t="n"/>
      <c r="J343" s="10" t="n"/>
      <c r="K343" s="10" t="n"/>
      <c r="L343" s="10" t="n"/>
      <c r="M343" s="10" t="n"/>
      <c r="N343" s="10" t="n"/>
      <c r="O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>
        <f>IF(F344="","",F344-TODAY())</f>
        <v/>
      </c>
      <c r="I344" s="10" t="n"/>
      <c r="J344" s="10" t="n"/>
      <c r="K344" s="10" t="n"/>
      <c r="L344" s="10" t="n"/>
      <c r="M344" s="10" t="n"/>
      <c r="N344" s="10" t="n"/>
      <c r="O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>
        <f>IF(F345="","",F345-TODAY())</f>
        <v/>
      </c>
      <c r="I345" s="10" t="n"/>
      <c r="J345" s="10" t="n"/>
      <c r="K345" s="10" t="n"/>
      <c r="L345" s="10" t="n"/>
      <c r="M345" s="10" t="n"/>
      <c r="N345" s="10" t="n"/>
      <c r="O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>
        <f>IF(F346="","",F346-TODAY())</f>
        <v/>
      </c>
      <c r="I346" s="10" t="n"/>
      <c r="J346" s="10" t="n"/>
      <c r="K346" s="10" t="n"/>
      <c r="L346" s="10" t="n"/>
      <c r="M346" s="10" t="n"/>
      <c r="N346" s="10" t="n"/>
      <c r="O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>
        <f>IF(F347="","",F347-TODAY())</f>
        <v/>
      </c>
      <c r="I347" s="10" t="n"/>
      <c r="J347" s="10" t="n"/>
      <c r="K347" s="10" t="n"/>
      <c r="L347" s="10" t="n"/>
      <c r="M347" s="10" t="n"/>
      <c r="N347" s="10" t="n"/>
      <c r="O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>
        <f>IF(F348="","",F348-TODAY())</f>
        <v/>
      </c>
      <c r="I348" s="10" t="n"/>
      <c r="J348" s="10" t="n"/>
      <c r="K348" s="10" t="n"/>
      <c r="L348" s="10" t="n"/>
      <c r="M348" s="10" t="n"/>
      <c r="N348" s="10" t="n"/>
      <c r="O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>
        <f>IF(F349="","",F349-TODAY())</f>
        <v/>
      </c>
      <c r="I349" s="10" t="n"/>
      <c r="J349" s="10" t="n"/>
      <c r="K349" s="10" t="n"/>
      <c r="L349" s="10" t="n"/>
      <c r="M349" s="10" t="n"/>
      <c r="N349" s="10" t="n"/>
      <c r="O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>
        <f>IF(F350="","",F350-TODAY())</f>
        <v/>
      </c>
      <c r="I350" s="10" t="n"/>
      <c r="J350" s="10" t="n"/>
      <c r="K350" s="10" t="n"/>
      <c r="L350" s="10" t="n"/>
      <c r="M350" s="10" t="n"/>
      <c r="N350" s="10" t="n"/>
      <c r="O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>
        <f>IF(F351="","",F351-TODAY())</f>
        <v/>
      </c>
      <c r="I351" s="10" t="n"/>
      <c r="J351" s="10" t="n"/>
      <c r="K351" s="10" t="n"/>
      <c r="L351" s="10" t="n"/>
      <c r="M351" s="10" t="n"/>
      <c r="N351" s="10" t="n"/>
      <c r="O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>
        <f>IF(F352="","",F352-TODAY())</f>
        <v/>
      </c>
      <c r="I352" s="10" t="n"/>
      <c r="J352" s="10" t="n"/>
      <c r="K352" s="10" t="n"/>
      <c r="L352" s="10" t="n"/>
      <c r="M352" s="10" t="n"/>
      <c r="N352" s="10" t="n"/>
      <c r="O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>
        <f>IF(F353="","",F353-TODAY())</f>
        <v/>
      </c>
      <c r="I353" s="10" t="n"/>
      <c r="J353" s="10" t="n"/>
      <c r="K353" s="10" t="n"/>
      <c r="L353" s="10" t="n"/>
      <c r="M353" s="10" t="n"/>
      <c r="N353" s="10" t="n"/>
      <c r="O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>
        <f>IF(F354="","",F354-TODAY())</f>
        <v/>
      </c>
      <c r="I354" s="10" t="n"/>
      <c r="J354" s="10" t="n"/>
      <c r="K354" s="10" t="n"/>
      <c r="L354" s="10" t="n"/>
      <c r="M354" s="10" t="n"/>
      <c r="N354" s="10" t="n"/>
      <c r="O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>
        <f>IF(F355="","",F355-TODAY())</f>
        <v/>
      </c>
      <c r="I355" s="10" t="n"/>
      <c r="J355" s="10" t="n"/>
      <c r="K355" s="10" t="n"/>
      <c r="L355" s="10" t="n"/>
      <c r="M355" s="10" t="n"/>
      <c r="N355" s="10" t="n"/>
      <c r="O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>
        <f>IF(F356="","",F356-TODAY())</f>
        <v/>
      </c>
      <c r="I356" s="10" t="n"/>
      <c r="J356" s="10" t="n"/>
      <c r="K356" s="10" t="n"/>
      <c r="L356" s="10" t="n"/>
      <c r="M356" s="10" t="n"/>
      <c r="N356" s="10" t="n"/>
      <c r="O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>
        <f>IF(F357="","",F357-TODAY())</f>
        <v/>
      </c>
      <c r="I357" s="10" t="n"/>
      <c r="J357" s="10" t="n"/>
      <c r="K357" s="10" t="n"/>
      <c r="L357" s="10" t="n"/>
      <c r="M357" s="10" t="n"/>
      <c r="N357" s="10" t="n"/>
      <c r="O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>
        <f>IF(F358="","",F358-TODAY())</f>
        <v/>
      </c>
      <c r="I358" s="10" t="n"/>
      <c r="J358" s="10" t="n"/>
      <c r="K358" s="10" t="n"/>
      <c r="L358" s="10" t="n"/>
      <c r="M358" s="10" t="n"/>
      <c r="N358" s="10" t="n"/>
      <c r="O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>
        <f>IF(F359="","",F359-TODAY())</f>
        <v/>
      </c>
      <c r="I359" s="10" t="n"/>
      <c r="J359" s="10" t="n"/>
      <c r="K359" s="10" t="n"/>
      <c r="L359" s="10" t="n"/>
      <c r="M359" s="10" t="n"/>
      <c r="N359" s="10" t="n"/>
      <c r="O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>
        <f>IF(F360="","",F360-TODAY())</f>
        <v/>
      </c>
      <c r="I360" s="10" t="n"/>
      <c r="J360" s="10" t="n"/>
      <c r="K360" s="10" t="n"/>
      <c r="L360" s="10" t="n"/>
      <c r="M360" s="10" t="n"/>
      <c r="N360" s="10" t="n"/>
      <c r="O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>
        <f>IF(F361="","",F361-TODAY())</f>
        <v/>
      </c>
      <c r="I361" s="10" t="n"/>
      <c r="J361" s="10" t="n"/>
      <c r="K361" s="10" t="n"/>
      <c r="L361" s="10" t="n"/>
      <c r="M361" s="10" t="n"/>
      <c r="N361" s="10" t="n"/>
      <c r="O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>
        <f>IF(F362="","",F362-TODAY())</f>
        <v/>
      </c>
      <c r="I362" s="10" t="n"/>
      <c r="J362" s="10" t="n"/>
      <c r="K362" s="10" t="n"/>
      <c r="L362" s="10" t="n"/>
      <c r="M362" s="10" t="n"/>
      <c r="N362" s="10" t="n"/>
      <c r="O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>
        <f>IF(F363="","",F363-TODAY())</f>
        <v/>
      </c>
      <c r="I363" s="10" t="n"/>
      <c r="J363" s="10" t="n"/>
      <c r="K363" s="10" t="n"/>
      <c r="L363" s="10" t="n"/>
      <c r="M363" s="10" t="n"/>
      <c r="N363" s="10" t="n"/>
      <c r="O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>
        <f>IF(F364="","",F364-TODAY())</f>
        <v/>
      </c>
      <c r="I364" s="10" t="n"/>
      <c r="J364" s="10" t="n"/>
      <c r="K364" s="10" t="n"/>
      <c r="L364" s="10" t="n"/>
      <c r="M364" s="10" t="n"/>
      <c r="N364" s="10" t="n"/>
      <c r="O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>
        <f>IF(F365="","",F365-TODAY())</f>
        <v/>
      </c>
      <c r="I365" s="10" t="n"/>
      <c r="J365" s="10" t="n"/>
      <c r="K365" s="10" t="n"/>
      <c r="L365" s="10" t="n"/>
      <c r="M365" s="10" t="n"/>
      <c r="N365" s="10" t="n"/>
      <c r="O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>
        <f>IF(F366="","",F366-TODAY())</f>
        <v/>
      </c>
      <c r="I366" s="10" t="n"/>
      <c r="J366" s="10" t="n"/>
      <c r="K366" s="10" t="n"/>
      <c r="L366" s="10" t="n"/>
      <c r="M366" s="10" t="n"/>
      <c r="N366" s="10" t="n"/>
      <c r="O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>
        <f>IF(F367="","",F367-TODAY())</f>
        <v/>
      </c>
      <c r="I367" s="10" t="n"/>
      <c r="J367" s="10" t="n"/>
      <c r="K367" s="10" t="n"/>
      <c r="L367" s="10" t="n"/>
      <c r="M367" s="10" t="n"/>
      <c r="N367" s="10" t="n"/>
      <c r="O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>
        <f>IF(F368="","",F368-TODAY())</f>
        <v/>
      </c>
      <c r="I368" s="10" t="n"/>
      <c r="J368" s="10" t="n"/>
      <c r="K368" s="10" t="n"/>
      <c r="L368" s="10" t="n"/>
      <c r="M368" s="10" t="n"/>
      <c r="N368" s="10" t="n"/>
      <c r="O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>
        <f>IF(F369="","",F369-TODAY())</f>
        <v/>
      </c>
      <c r="I369" s="10" t="n"/>
      <c r="J369" s="10" t="n"/>
      <c r="K369" s="10" t="n"/>
      <c r="L369" s="10" t="n"/>
      <c r="M369" s="10" t="n"/>
      <c r="N369" s="10" t="n"/>
      <c r="O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>
        <f>IF(F370="","",F370-TODAY())</f>
        <v/>
      </c>
      <c r="I370" s="10" t="n"/>
      <c r="J370" s="10" t="n"/>
      <c r="K370" s="10" t="n"/>
      <c r="L370" s="10" t="n"/>
      <c r="M370" s="10" t="n"/>
      <c r="N370" s="10" t="n"/>
      <c r="O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>
        <f>IF(F371="","",F371-TODAY())</f>
        <v/>
      </c>
      <c r="I371" s="10" t="n"/>
      <c r="J371" s="10" t="n"/>
      <c r="K371" s="10" t="n"/>
      <c r="L371" s="10" t="n"/>
      <c r="M371" s="10" t="n"/>
      <c r="N371" s="10" t="n"/>
      <c r="O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>
        <f>IF(F372="","",F372-TODAY())</f>
        <v/>
      </c>
      <c r="I372" s="10" t="n"/>
      <c r="J372" s="10" t="n"/>
      <c r="K372" s="10" t="n"/>
      <c r="L372" s="10" t="n"/>
      <c r="M372" s="10" t="n"/>
      <c r="N372" s="10" t="n"/>
      <c r="O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>
        <f>IF(F373="","",F373-TODAY())</f>
        <v/>
      </c>
      <c r="I373" s="10" t="n"/>
      <c r="J373" s="10" t="n"/>
      <c r="K373" s="10" t="n"/>
      <c r="L373" s="10" t="n"/>
      <c r="M373" s="10" t="n"/>
      <c r="N373" s="10" t="n"/>
      <c r="O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>
        <f>IF(F374="","",F374-TODAY())</f>
        <v/>
      </c>
      <c r="I374" s="10" t="n"/>
      <c r="J374" s="10" t="n"/>
      <c r="K374" s="10" t="n"/>
      <c r="L374" s="10" t="n"/>
      <c r="M374" s="10" t="n"/>
      <c r="N374" s="10" t="n"/>
      <c r="O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>
        <f>IF(F375="","",F375-TODAY())</f>
        <v/>
      </c>
      <c r="I375" s="10" t="n"/>
      <c r="J375" s="10" t="n"/>
      <c r="K375" s="10" t="n"/>
      <c r="L375" s="10" t="n"/>
      <c r="M375" s="10" t="n"/>
      <c r="N375" s="10" t="n"/>
      <c r="O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>
        <f>IF(F376="","",F376-TODAY())</f>
        <v/>
      </c>
      <c r="I376" s="10" t="n"/>
      <c r="J376" s="10" t="n"/>
      <c r="K376" s="10" t="n"/>
      <c r="L376" s="10" t="n"/>
      <c r="M376" s="10" t="n"/>
      <c r="N376" s="10" t="n"/>
      <c r="O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>
        <f>IF(F377="","",F377-TODAY())</f>
        <v/>
      </c>
      <c r="I377" s="10" t="n"/>
      <c r="J377" s="10" t="n"/>
      <c r="K377" s="10" t="n"/>
      <c r="L377" s="10" t="n"/>
      <c r="M377" s="10" t="n"/>
      <c r="N377" s="10" t="n"/>
      <c r="O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>
        <f>IF(F378="","",F378-TODAY())</f>
        <v/>
      </c>
      <c r="I378" s="10" t="n"/>
      <c r="J378" s="10" t="n"/>
      <c r="K378" s="10" t="n"/>
      <c r="L378" s="10" t="n"/>
      <c r="M378" s="10" t="n"/>
      <c r="N378" s="10" t="n"/>
      <c r="O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>
        <f>IF(F379="","",F379-TODAY())</f>
        <v/>
      </c>
      <c r="I379" s="10" t="n"/>
      <c r="J379" s="10" t="n"/>
      <c r="K379" s="10" t="n"/>
      <c r="L379" s="10" t="n"/>
      <c r="M379" s="10" t="n"/>
      <c r="N379" s="10" t="n"/>
      <c r="O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>
        <f>IF(F380="","",F380-TODAY())</f>
        <v/>
      </c>
      <c r="I380" s="10" t="n"/>
      <c r="J380" s="10" t="n"/>
      <c r="K380" s="10" t="n"/>
      <c r="L380" s="10" t="n"/>
      <c r="M380" s="10" t="n"/>
      <c r="N380" s="10" t="n"/>
      <c r="O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>
        <f>IF(F381="","",F381-TODAY())</f>
        <v/>
      </c>
      <c r="I381" s="10" t="n"/>
      <c r="J381" s="10" t="n"/>
      <c r="K381" s="10" t="n"/>
      <c r="L381" s="10" t="n"/>
      <c r="M381" s="10" t="n"/>
      <c r="N381" s="10" t="n"/>
      <c r="O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>
        <f>IF(F382="","",F382-TODAY())</f>
        <v/>
      </c>
      <c r="I382" s="10" t="n"/>
      <c r="J382" s="10" t="n"/>
      <c r="K382" s="10" t="n"/>
      <c r="L382" s="10" t="n"/>
      <c r="M382" s="10" t="n"/>
      <c r="N382" s="10" t="n"/>
      <c r="O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>
        <f>IF(F383="","",F383-TODAY())</f>
        <v/>
      </c>
      <c r="I383" s="10" t="n"/>
      <c r="J383" s="10" t="n"/>
      <c r="K383" s="10" t="n"/>
      <c r="L383" s="10" t="n"/>
      <c r="M383" s="10" t="n"/>
      <c r="N383" s="10" t="n"/>
      <c r="O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>
        <f>IF(F384="","",F384-TODAY())</f>
        <v/>
      </c>
      <c r="I384" s="10" t="n"/>
      <c r="J384" s="10" t="n"/>
      <c r="K384" s="10" t="n"/>
      <c r="L384" s="10" t="n"/>
      <c r="M384" s="10" t="n"/>
      <c r="N384" s="10" t="n"/>
      <c r="O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>
        <f>IF(F385="","",F385-TODAY())</f>
        <v/>
      </c>
      <c r="I385" s="10" t="n"/>
      <c r="J385" s="10" t="n"/>
      <c r="K385" s="10" t="n"/>
      <c r="L385" s="10" t="n"/>
      <c r="M385" s="10" t="n"/>
      <c r="N385" s="10" t="n"/>
      <c r="O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>
        <f>IF(F386="","",F386-TODAY())</f>
        <v/>
      </c>
      <c r="I386" s="10" t="n"/>
      <c r="J386" s="10" t="n"/>
      <c r="K386" s="10" t="n"/>
      <c r="L386" s="10" t="n"/>
      <c r="M386" s="10" t="n"/>
      <c r="N386" s="10" t="n"/>
      <c r="O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>
        <f>IF(F387="","",F387-TODAY())</f>
        <v/>
      </c>
      <c r="I387" s="10" t="n"/>
      <c r="J387" s="10" t="n"/>
      <c r="K387" s="10" t="n"/>
      <c r="L387" s="10" t="n"/>
      <c r="M387" s="10" t="n"/>
      <c r="N387" s="10" t="n"/>
      <c r="O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>
        <f>IF(F388="","",F388-TODAY())</f>
        <v/>
      </c>
      <c r="I388" s="10" t="n"/>
      <c r="J388" s="10" t="n"/>
      <c r="K388" s="10" t="n"/>
      <c r="L388" s="10" t="n"/>
      <c r="M388" s="10" t="n"/>
      <c r="N388" s="10" t="n"/>
      <c r="O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>
        <f>IF(F389="","",F389-TODAY())</f>
        <v/>
      </c>
      <c r="I389" s="10" t="n"/>
      <c r="J389" s="10" t="n"/>
      <c r="K389" s="10" t="n"/>
      <c r="L389" s="10" t="n"/>
      <c r="M389" s="10" t="n"/>
      <c r="N389" s="10" t="n"/>
      <c r="O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>
        <f>IF(F390="","",F390-TODAY())</f>
        <v/>
      </c>
      <c r="I390" s="10" t="n"/>
      <c r="J390" s="10" t="n"/>
      <c r="K390" s="10" t="n"/>
      <c r="L390" s="10" t="n"/>
      <c r="M390" s="10" t="n"/>
      <c r="N390" s="10" t="n"/>
      <c r="O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>
        <f>IF(F391="","",F391-TODAY())</f>
        <v/>
      </c>
      <c r="I391" s="10" t="n"/>
      <c r="J391" s="10" t="n"/>
      <c r="K391" s="10" t="n"/>
      <c r="L391" s="10" t="n"/>
      <c r="M391" s="10" t="n"/>
      <c r="N391" s="10" t="n"/>
      <c r="O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>
        <f>IF(F392="","",F392-TODAY())</f>
        <v/>
      </c>
      <c r="I392" s="10" t="n"/>
      <c r="J392" s="10" t="n"/>
      <c r="K392" s="10" t="n"/>
      <c r="L392" s="10" t="n"/>
      <c r="M392" s="10" t="n"/>
      <c r="N392" s="10" t="n"/>
      <c r="O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>
        <f>IF(F393="","",F393-TODAY())</f>
        <v/>
      </c>
      <c r="I393" s="10" t="n"/>
      <c r="J393" s="10" t="n"/>
      <c r="K393" s="10" t="n"/>
      <c r="L393" s="10" t="n"/>
      <c r="M393" s="10" t="n"/>
      <c r="N393" s="10" t="n"/>
      <c r="O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>
        <f>IF(F394="","",F394-TODAY())</f>
        <v/>
      </c>
      <c r="I394" s="10" t="n"/>
      <c r="J394" s="10" t="n"/>
      <c r="K394" s="10" t="n"/>
      <c r="L394" s="10" t="n"/>
      <c r="M394" s="10" t="n"/>
      <c r="N394" s="10" t="n"/>
      <c r="O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>
        <f>IF(F395="","",F395-TODAY())</f>
        <v/>
      </c>
      <c r="I395" s="10" t="n"/>
      <c r="J395" s="10" t="n"/>
      <c r="K395" s="10" t="n"/>
      <c r="L395" s="10" t="n"/>
      <c r="M395" s="10" t="n"/>
      <c r="N395" s="10" t="n"/>
      <c r="O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>
        <f>IF(F396="","",F396-TODAY())</f>
        <v/>
      </c>
      <c r="I396" s="10" t="n"/>
      <c r="J396" s="10" t="n"/>
      <c r="K396" s="10" t="n"/>
      <c r="L396" s="10" t="n"/>
      <c r="M396" s="10" t="n"/>
      <c r="N396" s="10" t="n"/>
      <c r="O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>
        <f>IF(F397="","",F397-TODAY())</f>
        <v/>
      </c>
      <c r="I397" s="10" t="n"/>
      <c r="J397" s="10" t="n"/>
      <c r="K397" s="10" t="n"/>
      <c r="L397" s="10" t="n"/>
      <c r="M397" s="10" t="n"/>
      <c r="N397" s="10" t="n"/>
      <c r="O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>
        <f>IF(F398="","",F398-TODAY())</f>
        <v/>
      </c>
      <c r="I398" s="10" t="n"/>
      <c r="J398" s="10" t="n"/>
      <c r="K398" s="10" t="n"/>
      <c r="L398" s="10" t="n"/>
      <c r="M398" s="10" t="n"/>
      <c r="N398" s="10" t="n"/>
      <c r="O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>
        <f>IF(F399="","",F399-TODAY())</f>
        <v/>
      </c>
      <c r="I399" s="10" t="n"/>
      <c r="J399" s="10" t="n"/>
      <c r="K399" s="10" t="n"/>
      <c r="L399" s="10" t="n"/>
      <c r="M399" s="10" t="n"/>
      <c r="N399" s="10" t="n"/>
      <c r="O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>
        <f>IF(F400="","",F400-TODAY())</f>
        <v/>
      </c>
      <c r="I400" s="10" t="n"/>
      <c r="J400" s="10" t="n"/>
      <c r="K400" s="10" t="n"/>
      <c r="L400" s="10" t="n"/>
      <c r="M400" s="10" t="n"/>
      <c r="N400" s="10" t="n"/>
      <c r="O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>
        <f>IF(F401="","",F401-TODAY())</f>
        <v/>
      </c>
      <c r="I401" s="10" t="n"/>
      <c r="J401" s="10" t="n"/>
      <c r="K401" s="10" t="n"/>
      <c r="L401" s="10" t="n"/>
      <c r="M401" s="10" t="n"/>
      <c r="N401" s="10" t="n"/>
      <c r="O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>
        <f>IF(F402="","",F402-TODAY())</f>
        <v/>
      </c>
      <c r="I402" s="10" t="n"/>
      <c r="J402" s="10" t="n"/>
      <c r="K402" s="10" t="n"/>
      <c r="L402" s="10" t="n"/>
      <c r="M402" s="10" t="n"/>
      <c r="N402" s="10" t="n"/>
      <c r="O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>
        <f>IF(F403="","",F403-TODAY())</f>
        <v/>
      </c>
      <c r="I403" s="10" t="n"/>
      <c r="J403" s="10" t="n"/>
      <c r="K403" s="10" t="n"/>
      <c r="L403" s="10" t="n"/>
      <c r="M403" s="10" t="n"/>
      <c r="N403" s="10" t="n"/>
      <c r="O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>
        <f>IF(F404="","",F404-TODAY())</f>
        <v/>
      </c>
      <c r="I404" s="10" t="n"/>
      <c r="J404" s="10" t="n"/>
      <c r="K404" s="10" t="n"/>
      <c r="L404" s="10" t="n"/>
      <c r="M404" s="10" t="n"/>
      <c r="N404" s="10" t="n"/>
      <c r="O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>
        <f>IF(F405="","",F405-TODAY())</f>
        <v/>
      </c>
      <c r="I405" s="10" t="n"/>
      <c r="J405" s="10" t="n"/>
      <c r="K405" s="10" t="n"/>
      <c r="L405" s="10" t="n"/>
      <c r="M405" s="10" t="n"/>
      <c r="N405" s="10" t="n"/>
      <c r="O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>
        <f>IF(F406="","",F406-TODAY())</f>
        <v/>
      </c>
      <c r="I406" s="10" t="n"/>
      <c r="J406" s="10" t="n"/>
      <c r="K406" s="10" t="n"/>
      <c r="L406" s="10" t="n"/>
      <c r="M406" s="10" t="n"/>
      <c r="N406" s="10" t="n"/>
      <c r="O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>
        <f>IF(F407="","",F407-TODAY())</f>
        <v/>
      </c>
      <c r="I407" s="10" t="n"/>
      <c r="J407" s="10" t="n"/>
      <c r="K407" s="10" t="n"/>
      <c r="L407" s="10" t="n"/>
      <c r="M407" s="10" t="n"/>
      <c r="N407" s="10" t="n"/>
      <c r="O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>
        <f>IF(F408="","",F408-TODAY())</f>
        <v/>
      </c>
      <c r="I408" s="10" t="n"/>
      <c r="J408" s="10" t="n"/>
      <c r="K408" s="10" t="n"/>
      <c r="L408" s="10" t="n"/>
      <c r="M408" s="10" t="n"/>
      <c r="N408" s="10" t="n"/>
      <c r="O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>
        <f>IF(F409="","",F409-TODAY())</f>
        <v/>
      </c>
      <c r="I409" s="10" t="n"/>
      <c r="J409" s="10" t="n"/>
      <c r="K409" s="10" t="n"/>
      <c r="L409" s="10" t="n"/>
      <c r="M409" s="10" t="n"/>
      <c r="N409" s="10" t="n"/>
      <c r="O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>
        <f>IF(F410="","",F410-TODAY())</f>
        <v/>
      </c>
      <c r="I410" s="10" t="n"/>
      <c r="J410" s="10" t="n"/>
      <c r="K410" s="10" t="n"/>
      <c r="L410" s="10" t="n"/>
      <c r="M410" s="10" t="n"/>
      <c r="N410" s="10" t="n"/>
      <c r="O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>
        <f>IF(F411="","",F411-TODAY())</f>
        <v/>
      </c>
      <c r="I411" s="10" t="n"/>
      <c r="J411" s="10" t="n"/>
      <c r="K411" s="10" t="n"/>
      <c r="L411" s="10" t="n"/>
      <c r="M411" s="10" t="n"/>
      <c r="N411" s="10" t="n"/>
      <c r="O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>
        <f>IF(F412="","",F412-TODAY())</f>
        <v/>
      </c>
      <c r="I412" s="10" t="n"/>
      <c r="J412" s="10" t="n"/>
      <c r="K412" s="10" t="n"/>
      <c r="L412" s="10" t="n"/>
      <c r="M412" s="10" t="n"/>
      <c r="N412" s="10" t="n"/>
      <c r="O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>
        <f>IF(F413="","",F413-TODAY())</f>
        <v/>
      </c>
      <c r="I413" s="10" t="n"/>
      <c r="J413" s="10" t="n"/>
      <c r="K413" s="10" t="n"/>
      <c r="L413" s="10" t="n"/>
      <c r="M413" s="10" t="n"/>
      <c r="N413" s="10" t="n"/>
      <c r="O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>
        <f>IF(F414="","",F414-TODAY())</f>
        <v/>
      </c>
      <c r="I414" s="10" t="n"/>
      <c r="J414" s="10" t="n"/>
      <c r="K414" s="10" t="n"/>
      <c r="L414" s="10" t="n"/>
      <c r="M414" s="10" t="n"/>
      <c r="N414" s="10" t="n"/>
      <c r="O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>
        <f>IF(F415="","",F415-TODAY())</f>
        <v/>
      </c>
      <c r="I415" s="10" t="n"/>
      <c r="J415" s="10" t="n"/>
      <c r="K415" s="10" t="n"/>
      <c r="L415" s="10" t="n"/>
      <c r="M415" s="10" t="n"/>
      <c r="N415" s="10" t="n"/>
      <c r="O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>
        <f>IF(F416="","",F416-TODAY())</f>
        <v/>
      </c>
      <c r="I416" s="10" t="n"/>
      <c r="J416" s="10" t="n"/>
      <c r="K416" s="10" t="n"/>
      <c r="L416" s="10" t="n"/>
      <c r="M416" s="10" t="n"/>
      <c r="N416" s="10" t="n"/>
      <c r="O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>
        <f>IF(F417="","",F417-TODAY())</f>
        <v/>
      </c>
      <c r="I417" s="10" t="n"/>
      <c r="J417" s="10" t="n"/>
      <c r="K417" s="10" t="n"/>
      <c r="L417" s="10" t="n"/>
      <c r="M417" s="10" t="n"/>
      <c r="N417" s="10" t="n"/>
      <c r="O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>
        <f>IF(F418="","",F418-TODAY())</f>
        <v/>
      </c>
      <c r="I418" s="10" t="n"/>
      <c r="J418" s="10" t="n"/>
      <c r="K418" s="10" t="n"/>
      <c r="L418" s="10" t="n"/>
      <c r="M418" s="10" t="n"/>
      <c r="N418" s="10" t="n"/>
      <c r="O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>
        <f>IF(F419="","",F419-TODAY())</f>
        <v/>
      </c>
      <c r="I419" s="10" t="n"/>
      <c r="J419" s="10" t="n"/>
      <c r="K419" s="10" t="n"/>
      <c r="L419" s="10" t="n"/>
      <c r="M419" s="10" t="n"/>
      <c r="N419" s="10" t="n"/>
      <c r="O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>
        <f>IF(F420="","",F420-TODAY())</f>
        <v/>
      </c>
      <c r="I420" s="10" t="n"/>
      <c r="J420" s="10" t="n"/>
      <c r="K420" s="10" t="n"/>
      <c r="L420" s="10" t="n"/>
      <c r="M420" s="10" t="n"/>
      <c r="N420" s="10" t="n"/>
      <c r="O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>
        <f>IF(F421="","",F421-TODAY())</f>
        <v/>
      </c>
      <c r="I421" s="10" t="n"/>
      <c r="J421" s="10" t="n"/>
      <c r="K421" s="10" t="n"/>
      <c r="L421" s="10" t="n"/>
      <c r="M421" s="10" t="n"/>
      <c r="N421" s="10" t="n"/>
      <c r="O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>
        <f>IF(F422="","",F422-TODAY())</f>
        <v/>
      </c>
      <c r="I422" s="10" t="n"/>
      <c r="J422" s="10" t="n"/>
      <c r="K422" s="10" t="n"/>
      <c r="L422" s="10" t="n"/>
      <c r="M422" s="10" t="n"/>
      <c r="N422" s="10" t="n"/>
      <c r="O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>
        <f>IF(F423="","",F423-TODAY())</f>
        <v/>
      </c>
      <c r="I423" s="10" t="n"/>
      <c r="J423" s="10" t="n"/>
      <c r="K423" s="10" t="n"/>
      <c r="L423" s="10" t="n"/>
      <c r="M423" s="10" t="n"/>
      <c r="N423" s="10" t="n"/>
      <c r="O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>
        <f>IF(F424="","",F424-TODAY())</f>
        <v/>
      </c>
      <c r="I424" s="10" t="n"/>
      <c r="J424" s="10" t="n"/>
      <c r="K424" s="10" t="n"/>
      <c r="L424" s="10" t="n"/>
      <c r="M424" s="10" t="n"/>
      <c r="N424" s="10" t="n"/>
      <c r="O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>
        <f>IF(F425="","",F425-TODAY())</f>
        <v/>
      </c>
      <c r="I425" s="10" t="n"/>
      <c r="J425" s="10" t="n"/>
      <c r="K425" s="10" t="n"/>
      <c r="L425" s="10" t="n"/>
      <c r="M425" s="10" t="n"/>
      <c r="N425" s="10" t="n"/>
      <c r="O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>
        <f>IF(F426="","",F426-TODAY())</f>
        <v/>
      </c>
      <c r="I426" s="10" t="n"/>
      <c r="J426" s="10" t="n"/>
      <c r="K426" s="10" t="n"/>
      <c r="L426" s="10" t="n"/>
      <c r="M426" s="10" t="n"/>
      <c r="N426" s="10" t="n"/>
      <c r="O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>
        <f>IF(F427="","",F427-TODAY())</f>
        <v/>
      </c>
      <c r="I427" s="10" t="n"/>
      <c r="J427" s="10" t="n"/>
      <c r="K427" s="10" t="n"/>
      <c r="L427" s="10" t="n"/>
      <c r="M427" s="10" t="n"/>
      <c r="N427" s="10" t="n"/>
      <c r="O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>
        <f>IF(F428="","",F428-TODAY())</f>
        <v/>
      </c>
      <c r="I428" s="10" t="n"/>
      <c r="J428" s="10" t="n"/>
      <c r="K428" s="10" t="n"/>
      <c r="L428" s="10" t="n"/>
      <c r="M428" s="10" t="n"/>
      <c r="N428" s="10" t="n"/>
      <c r="O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>
        <f>IF(F429="","",F429-TODAY())</f>
        <v/>
      </c>
      <c r="I429" s="10" t="n"/>
      <c r="J429" s="10" t="n"/>
      <c r="K429" s="10" t="n"/>
      <c r="L429" s="10" t="n"/>
      <c r="M429" s="10" t="n"/>
      <c r="N429" s="10" t="n"/>
      <c r="O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>
        <f>IF(F430="","",F430-TODAY())</f>
        <v/>
      </c>
      <c r="I430" s="10" t="n"/>
      <c r="J430" s="10" t="n"/>
      <c r="K430" s="10" t="n"/>
      <c r="L430" s="10" t="n"/>
      <c r="M430" s="10" t="n"/>
      <c r="N430" s="10" t="n"/>
      <c r="O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>
        <f>IF(F431="","",F431-TODAY())</f>
        <v/>
      </c>
      <c r="I431" s="10" t="n"/>
      <c r="J431" s="10" t="n"/>
      <c r="K431" s="10" t="n"/>
      <c r="L431" s="10" t="n"/>
      <c r="M431" s="10" t="n"/>
      <c r="N431" s="10" t="n"/>
      <c r="O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>
        <f>IF(F432="","",F432-TODAY())</f>
        <v/>
      </c>
      <c r="I432" s="10" t="n"/>
      <c r="J432" s="10" t="n"/>
      <c r="K432" s="10" t="n"/>
      <c r="L432" s="10" t="n"/>
      <c r="M432" s="10" t="n"/>
      <c r="N432" s="10" t="n"/>
      <c r="O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>
        <f>IF(F433="","",F433-TODAY())</f>
        <v/>
      </c>
      <c r="I433" s="10" t="n"/>
      <c r="J433" s="10" t="n"/>
      <c r="K433" s="10" t="n"/>
      <c r="L433" s="10" t="n"/>
      <c r="M433" s="10" t="n"/>
      <c r="N433" s="10" t="n"/>
      <c r="O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>
        <f>IF(F434="","",F434-TODAY())</f>
        <v/>
      </c>
      <c r="I434" s="10" t="n"/>
      <c r="J434" s="10" t="n"/>
      <c r="K434" s="10" t="n"/>
      <c r="L434" s="10" t="n"/>
      <c r="M434" s="10" t="n"/>
      <c r="N434" s="10" t="n"/>
      <c r="O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>
        <f>IF(F435="","",F435-TODAY())</f>
        <v/>
      </c>
      <c r="I435" s="10" t="n"/>
      <c r="J435" s="10" t="n"/>
      <c r="K435" s="10" t="n"/>
      <c r="L435" s="10" t="n"/>
      <c r="M435" s="10" t="n"/>
      <c r="N435" s="10" t="n"/>
      <c r="O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>
        <f>IF(F436="","",F436-TODAY())</f>
        <v/>
      </c>
      <c r="I436" s="10" t="n"/>
      <c r="J436" s="10" t="n"/>
      <c r="K436" s="10" t="n"/>
      <c r="L436" s="10" t="n"/>
      <c r="M436" s="10" t="n"/>
      <c r="N436" s="10" t="n"/>
      <c r="O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>
        <f>IF(F437="","",F437-TODAY())</f>
        <v/>
      </c>
      <c r="I437" s="10" t="n"/>
      <c r="J437" s="10" t="n"/>
      <c r="K437" s="10" t="n"/>
      <c r="L437" s="10" t="n"/>
      <c r="M437" s="10" t="n"/>
      <c r="N437" s="10" t="n"/>
      <c r="O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>
        <f>IF(F438="","",F438-TODAY())</f>
        <v/>
      </c>
      <c r="I438" s="10" t="n"/>
      <c r="J438" s="10" t="n"/>
      <c r="K438" s="10" t="n"/>
      <c r="L438" s="10" t="n"/>
      <c r="M438" s="10" t="n"/>
      <c r="N438" s="10" t="n"/>
      <c r="O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>
        <f>IF(F439="","",F439-TODAY())</f>
        <v/>
      </c>
      <c r="I439" s="10" t="n"/>
      <c r="J439" s="10" t="n"/>
      <c r="K439" s="10" t="n"/>
      <c r="L439" s="10" t="n"/>
      <c r="M439" s="10" t="n"/>
      <c r="N439" s="10" t="n"/>
      <c r="O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>
        <f>IF(F440="","",F440-TODAY())</f>
        <v/>
      </c>
      <c r="I440" s="10" t="n"/>
      <c r="J440" s="10" t="n"/>
      <c r="K440" s="10" t="n"/>
      <c r="L440" s="10" t="n"/>
      <c r="M440" s="10" t="n"/>
      <c r="N440" s="10" t="n"/>
      <c r="O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>
        <f>IF(F441="","",F441-TODAY())</f>
        <v/>
      </c>
      <c r="I441" s="10" t="n"/>
      <c r="J441" s="10" t="n"/>
      <c r="K441" s="10" t="n"/>
      <c r="L441" s="10" t="n"/>
      <c r="M441" s="10" t="n"/>
      <c r="N441" s="10" t="n"/>
      <c r="O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>
        <f>IF(F442="","",F442-TODAY())</f>
        <v/>
      </c>
      <c r="I442" s="10" t="n"/>
      <c r="J442" s="10" t="n"/>
      <c r="K442" s="10" t="n"/>
      <c r="L442" s="10" t="n"/>
      <c r="M442" s="10" t="n"/>
      <c r="N442" s="10" t="n"/>
      <c r="O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>
        <f>IF(F443="","",F443-TODAY())</f>
        <v/>
      </c>
      <c r="I443" s="10" t="n"/>
      <c r="J443" s="10" t="n"/>
      <c r="K443" s="10" t="n"/>
      <c r="L443" s="10" t="n"/>
      <c r="M443" s="10" t="n"/>
      <c r="N443" s="10" t="n"/>
      <c r="O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>
        <f>IF(F444="","",F444-TODAY())</f>
        <v/>
      </c>
      <c r="I444" s="10" t="n"/>
      <c r="J444" s="10" t="n"/>
      <c r="K444" s="10" t="n"/>
      <c r="L444" s="10" t="n"/>
      <c r="M444" s="10" t="n"/>
      <c r="N444" s="10" t="n"/>
      <c r="O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>
        <f>IF(F445="","",F445-TODAY())</f>
        <v/>
      </c>
      <c r="I445" s="10" t="n"/>
      <c r="J445" s="10" t="n"/>
      <c r="K445" s="10" t="n"/>
      <c r="L445" s="10" t="n"/>
      <c r="M445" s="10" t="n"/>
      <c r="N445" s="10" t="n"/>
      <c r="O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>
        <f>IF(F446="","",F446-TODAY())</f>
        <v/>
      </c>
      <c r="I446" s="10" t="n"/>
      <c r="J446" s="10" t="n"/>
      <c r="K446" s="10" t="n"/>
      <c r="L446" s="10" t="n"/>
      <c r="M446" s="10" t="n"/>
      <c r="N446" s="10" t="n"/>
      <c r="O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>
        <f>IF(F447="","",F447-TODAY())</f>
        <v/>
      </c>
      <c r="I447" s="10" t="n"/>
      <c r="J447" s="10" t="n"/>
      <c r="K447" s="10" t="n"/>
      <c r="L447" s="10" t="n"/>
      <c r="M447" s="10" t="n"/>
      <c r="N447" s="10" t="n"/>
      <c r="O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>
        <f>IF(F448="","",F448-TODAY())</f>
        <v/>
      </c>
      <c r="I448" s="10" t="n"/>
      <c r="J448" s="10" t="n"/>
      <c r="K448" s="10" t="n"/>
      <c r="L448" s="10" t="n"/>
      <c r="M448" s="10" t="n"/>
      <c r="N448" s="10" t="n"/>
      <c r="O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>
        <f>IF(F449="","",F449-TODAY())</f>
        <v/>
      </c>
      <c r="I449" s="10" t="n"/>
      <c r="J449" s="10" t="n"/>
      <c r="K449" s="10" t="n"/>
      <c r="L449" s="10" t="n"/>
      <c r="M449" s="10" t="n"/>
      <c r="N449" s="10" t="n"/>
      <c r="O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>
        <f>IF(F450="","",F450-TODAY())</f>
        <v/>
      </c>
      <c r="I450" s="10" t="n"/>
      <c r="J450" s="10" t="n"/>
      <c r="K450" s="10" t="n"/>
      <c r="L450" s="10" t="n"/>
      <c r="M450" s="10" t="n"/>
      <c r="N450" s="10" t="n"/>
      <c r="O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>
        <f>IF(F451="","",F451-TODAY())</f>
        <v/>
      </c>
      <c r="I451" s="10" t="n"/>
      <c r="J451" s="10" t="n"/>
      <c r="K451" s="10" t="n"/>
      <c r="L451" s="10" t="n"/>
      <c r="M451" s="10" t="n"/>
      <c r="N451" s="10" t="n"/>
      <c r="O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>
        <f>IF(F452="","",F452-TODAY())</f>
        <v/>
      </c>
      <c r="I452" s="10" t="n"/>
      <c r="J452" s="10" t="n"/>
      <c r="K452" s="10" t="n"/>
      <c r="L452" s="10" t="n"/>
      <c r="M452" s="10" t="n"/>
      <c r="N452" s="10" t="n"/>
      <c r="O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>
        <f>IF(F453="","",F453-TODAY())</f>
        <v/>
      </c>
      <c r="I453" s="10" t="n"/>
      <c r="J453" s="10" t="n"/>
      <c r="K453" s="10" t="n"/>
      <c r="L453" s="10" t="n"/>
      <c r="M453" s="10" t="n"/>
      <c r="N453" s="10" t="n"/>
      <c r="O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>
        <f>IF(F454="","",F454-TODAY())</f>
        <v/>
      </c>
      <c r="I454" s="10" t="n"/>
      <c r="J454" s="10" t="n"/>
      <c r="K454" s="10" t="n"/>
      <c r="L454" s="10" t="n"/>
      <c r="M454" s="10" t="n"/>
      <c r="N454" s="10" t="n"/>
      <c r="O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>
        <f>IF(F455="","",F455-TODAY())</f>
        <v/>
      </c>
      <c r="I455" s="10" t="n"/>
      <c r="J455" s="10" t="n"/>
      <c r="K455" s="10" t="n"/>
      <c r="L455" s="10" t="n"/>
      <c r="M455" s="10" t="n"/>
      <c r="N455" s="10" t="n"/>
      <c r="O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>
        <f>IF(F456="","",F456-TODAY())</f>
        <v/>
      </c>
      <c r="I456" s="10" t="n"/>
      <c r="J456" s="10" t="n"/>
      <c r="K456" s="10" t="n"/>
      <c r="L456" s="10" t="n"/>
      <c r="M456" s="10" t="n"/>
      <c r="N456" s="10" t="n"/>
      <c r="O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>
        <f>IF(F457="","",F457-TODAY())</f>
        <v/>
      </c>
      <c r="I457" s="10" t="n"/>
      <c r="J457" s="10" t="n"/>
      <c r="K457" s="10" t="n"/>
      <c r="L457" s="10" t="n"/>
      <c r="M457" s="10" t="n"/>
      <c r="N457" s="10" t="n"/>
      <c r="O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>
        <f>IF(F458="","",F458-TODAY())</f>
        <v/>
      </c>
      <c r="I458" s="10" t="n"/>
      <c r="J458" s="10" t="n"/>
      <c r="K458" s="10" t="n"/>
      <c r="L458" s="10" t="n"/>
      <c r="M458" s="10" t="n"/>
      <c r="N458" s="10" t="n"/>
      <c r="O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>
        <f>IF(F459="","",F459-TODAY())</f>
        <v/>
      </c>
      <c r="I459" s="10" t="n"/>
      <c r="J459" s="10" t="n"/>
      <c r="K459" s="10" t="n"/>
      <c r="L459" s="10" t="n"/>
      <c r="M459" s="10" t="n"/>
      <c r="N459" s="10" t="n"/>
      <c r="O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>
        <f>IF(F460="","",F460-TODAY())</f>
        <v/>
      </c>
      <c r="I460" s="10" t="n"/>
      <c r="J460" s="10" t="n"/>
      <c r="K460" s="10" t="n"/>
      <c r="L460" s="10" t="n"/>
      <c r="M460" s="10" t="n"/>
      <c r="N460" s="10" t="n"/>
      <c r="O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>
        <f>IF(F461="","",F461-TODAY())</f>
        <v/>
      </c>
      <c r="I461" s="10" t="n"/>
      <c r="J461" s="10" t="n"/>
      <c r="K461" s="10" t="n"/>
      <c r="L461" s="10" t="n"/>
      <c r="M461" s="10" t="n"/>
      <c r="N461" s="10" t="n"/>
      <c r="O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>
        <f>IF(F462="","",F462-TODAY())</f>
        <v/>
      </c>
      <c r="I462" s="10" t="n"/>
      <c r="J462" s="10" t="n"/>
      <c r="K462" s="10" t="n"/>
      <c r="L462" s="10" t="n"/>
      <c r="M462" s="10" t="n"/>
      <c r="N462" s="10" t="n"/>
      <c r="O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>
        <f>IF(F463="","",F463-TODAY())</f>
        <v/>
      </c>
      <c r="I463" s="10" t="n"/>
      <c r="J463" s="10" t="n"/>
      <c r="K463" s="10" t="n"/>
      <c r="L463" s="10" t="n"/>
      <c r="M463" s="10" t="n"/>
      <c r="N463" s="10" t="n"/>
      <c r="O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>
        <f>IF(F464="","",F464-TODAY())</f>
        <v/>
      </c>
      <c r="I464" s="10" t="n"/>
      <c r="J464" s="10" t="n"/>
      <c r="K464" s="10" t="n"/>
      <c r="L464" s="10" t="n"/>
      <c r="M464" s="10" t="n"/>
      <c r="N464" s="10" t="n"/>
      <c r="O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>
        <f>IF(F465="","",F465-TODAY())</f>
        <v/>
      </c>
      <c r="I465" s="10" t="n"/>
      <c r="J465" s="10" t="n"/>
      <c r="K465" s="10" t="n"/>
      <c r="L465" s="10" t="n"/>
      <c r="M465" s="10" t="n"/>
      <c r="N465" s="10" t="n"/>
      <c r="O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>
        <f>IF(F466="","",F466-TODAY())</f>
        <v/>
      </c>
      <c r="I466" s="10" t="n"/>
      <c r="J466" s="10" t="n"/>
      <c r="K466" s="10" t="n"/>
      <c r="L466" s="10" t="n"/>
      <c r="M466" s="10" t="n"/>
      <c r="N466" s="10" t="n"/>
      <c r="O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>
        <f>IF(F467="","",F467-TODAY())</f>
        <v/>
      </c>
      <c r="I467" s="10" t="n"/>
      <c r="J467" s="10" t="n"/>
      <c r="K467" s="10" t="n"/>
      <c r="L467" s="10" t="n"/>
      <c r="M467" s="10" t="n"/>
      <c r="N467" s="10" t="n"/>
      <c r="O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>
        <f>IF(F468="","",F468-TODAY())</f>
        <v/>
      </c>
      <c r="I468" s="10" t="n"/>
      <c r="J468" s="10" t="n"/>
      <c r="K468" s="10" t="n"/>
      <c r="L468" s="10" t="n"/>
      <c r="M468" s="10" t="n"/>
      <c r="N468" s="10" t="n"/>
      <c r="O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>
        <f>IF(F469="","",F469-TODAY())</f>
        <v/>
      </c>
      <c r="I469" s="10" t="n"/>
      <c r="J469" s="10" t="n"/>
      <c r="K469" s="10" t="n"/>
      <c r="L469" s="10" t="n"/>
      <c r="M469" s="10" t="n"/>
      <c r="N469" s="10" t="n"/>
      <c r="O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>
        <f>IF(F470="","",F470-TODAY())</f>
        <v/>
      </c>
      <c r="I470" s="10" t="n"/>
      <c r="J470" s="10" t="n"/>
      <c r="K470" s="10" t="n"/>
      <c r="L470" s="10" t="n"/>
      <c r="M470" s="10" t="n"/>
      <c r="N470" s="10" t="n"/>
      <c r="O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>
        <f>IF(F471="","",F471-TODAY())</f>
        <v/>
      </c>
      <c r="I471" s="10" t="n"/>
      <c r="J471" s="10" t="n"/>
      <c r="K471" s="10" t="n"/>
      <c r="L471" s="10" t="n"/>
      <c r="M471" s="10" t="n"/>
      <c r="N471" s="10" t="n"/>
      <c r="O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>
        <f>IF(F472="","",F472-TODAY())</f>
        <v/>
      </c>
      <c r="I472" s="10" t="n"/>
      <c r="J472" s="10" t="n"/>
      <c r="K472" s="10" t="n"/>
      <c r="L472" s="10" t="n"/>
      <c r="M472" s="10" t="n"/>
      <c r="N472" s="10" t="n"/>
      <c r="O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>
        <f>IF(F473="","",F473-TODAY())</f>
        <v/>
      </c>
      <c r="I473" s="10" t="n"/>
      <c r="J473" s="10" t="n"/>
      <c r="K473" s="10" t="n"/>
      <c r="L473" s="10" t="n"/>
      <c r="M473" s="10" t="n"/>
      <c r="N473" s="10" t="n"/>
      <c r="O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>
        <f>IF(F474="","",F474-TODAY())</f>
        <v/>
      </c>
      <c r="I474" s="10" t="n"/>
      <c r="J474" s="10" t="n"/>
      <c r="K474" s="10" t="n"/>
      <c r="L474" s="10" t="n"/>
      <c r="M474" s="10" t="n"/>
      <c r="N474" s="10" t="n"/>
      <c r="O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>
        <f>IF(F475="","",F475-TODAY())</f>
        <v/>
      </c>
      <c r="I475" s="10" t="n"/>
      <c r="J475" s="10" t="n"/>
      <c r="K475" s="10" t="n"/>
      <c r="L475" s="10" t="n"/>
      <c r="M475" s="10" t="n"/>
      <c r="N475" s="10" t="n"/>
      <c r="O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>
        <f>IF(F476="","",F476-TODAY())</f>
        <v/>
      </c>
      <c r="I476" s="10" t="n"/>
      <c r="J476" s="10" t="n"/>
      <c r="K476" s="10" t="n"/>
      <c r="L476" s="10" t="n"/>
      <c r="M476" s="10" t="n"/>
      <c r="N476" s="10" t="n"/>
      <c r="O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>
        <f>IF(F477="","",F477-TODAY())</f>
        <v/>
      </c>
      <c r="I477" s="10" t="n"/>
      <c r="J477" s="10" t="n"/>
      <c r="K477" s="10" t="n"/>
      <c r="L477" s="10" t="n"/>
      <c r="M477" s="10" t="n"/>
      <c r="N477" s="10" t="n"/>
      <c r="O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>
        <f>IF(F478="","",F478-TODAY())</f>
        <v/>
      </c>
      <c r="I478" s="10" t="n"/>
      <c r="J478" s="10" t="n"/>
      <c r="K478" s="10" t="n"/>
      <c r="L478" s="10" t="n"/>
      <c r="M478" s="10" t="n"/>
      <c r="N478" s="10" t="n"/>
      <c r="O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>
        <f>IF(F479="","",F479-TODAY())</f>
        <v/>
      </c>
      <c r="I479" s="10" t="n"/>
      <c r="J479" s="10" t="n"/>
      <c r="K479" s="10" t="n"/>
      <c r="L479" s="10" t="n"/>
      <c r="M479" s="10" t="n"/>
      <c r="N479" s="10" t="n"/>
      <c r="O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>
        <f>IF(F480="","",F480-TODAY())</f>
        <v/>
      </c>
      <c r="I480" s="10" t="n"/>
      <c r="J480" s="10" t="n"/>
      <c r="K480" s="10" t="n"/>
      <c r="L480" s="10" t="n"/>
      <c r="M480" s="10" t="n"/>
      <c r="N480" s="10" t="n"/>
      <c r="O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>
        <f>IF(F481="","",F481-TODAY())</f>
        <v/>
      </c>
      <c r="I481" s="10" t="n"/>
      <c r="J481" s="10" t="n"/>
      <c r="K481" s="10" t="n"/>
      <c r="L481" s="10" t="n"/>
      <c r="M481" s="10" t="n"/>
      <c r="N481" s="10" t="n"/>
      <c r="O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>
        <f>IF(F482="","",F482-TODAY())</f>
        <v/>
      </c>
      <c r="I482" s="10" t="n"/>
      <c r="J482" s="10" t="n"/>
      <c r="K482" s="10" t="n"/>
      <c r="L482" s="10" t="n"/>
      <c r="M482" s="10" t="n"/>
      <c r="N482" s="10" t="n"/>
      <c r="O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>
        <f>IF(F483="","",F483-TODAY())</f>
        <v/>
      </c>
      <c r="I483" s="10" t="n"/>
      <c r="J483" s="10" t="n"/>
      <c r="K483" s="10" t="n"/>
      <c r="L483" s="10" t="n"/>
      <c r="M483" s="10" t="n"/>
      <c r="N483" s="10" t="n"/>
      <c r="O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>
        <f>IF(F484="","",F484-TODAY())</f>
        <v/>
      </c>
      <c r="I484" s="10" t="n"/>
      <c r="J484" s="10" t="n"/>
      <c r="K484" s="10" t="n"/>
      <c r="L484" s="10" t="n"/>
      <c r="M484" s="10" t="n"/>
      <c r="N484" s="10" t="n"/>
      <c r="O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>
        <f>IF(F485="","",F485-TODAY())</f>
        <v/>
      </c>
      <c r="I485" s="10" t="n"/>
      <c r="J485" s="10" t="n"/>
      <c r="K485" s="10" t="n"/>
      <c r="L485" s="10" t="n"/>
      <c r="M485" s="10" t="n"/>
      <c r="N485" s="10" t="n"/>
      <c r="O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>
        <f>IF(F486="","",F486-TODAY())</f>
        <v/>
      </c>
      <c r="I486" s="10" t="n"/>
      <c r="J486" s="10" t="n"/>
      <c r="K486" s="10" t="n"/>
      <c r="L486" s="10" t="n"/>
      <c r="M486" s="10" t="n"/>
      <c r="N486" s="10" t="n"/>
      <c r="O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>
        <f>IF(F487="","",F487-TODAY())</f>
        <v/>
      </c>
      <c r="I487" s="10" t="n"/>
      <c r="J487" s="10" t="n"/>
      <c r="K487" s="10" t="n"/>
      <c r="L487" s="10" t="n"/>
      <c r="M487" s="10" t="n"/>
      <c r="N487" s="10" t="n"/>
      <c r="O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>
        <f>IF(F488="","",F488-TODAY())</f>
        <v/>
      </c>
      <c r="I488" s="10" t="n"/>
      <c r="J488" s="10" t="n"/>
      <c r="K488" s="10" t="n"/>
      <c r="L488" s="10" t="n"/>
      <c r="M488" s="10" t="n"/>
      <c r="N488" s="10" t="n"/>
      <c r="O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>
        <f>IF(F489="","",F489-TODAY())</f>
        <v/>
      </c>
      <c r="I489" s="10" t="n"/>
      <c r="J489" s="10" t="n"/>
      <c r="K489" s="10" t="n"/>
      <c r="L489" s="10" t="n"/>
      <c r="M489" s="10" t="n"/>
      <c r="N489" s="10" t="n"/>
      <c r="O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>
        <f>IF(F490="","",F490-TODAY())</f>
        <v/>
      </c>
      <c r="I490" s="10" t="n"/>
      <c r="J490" s="10" t="n"/>
      <c r="K490" s="10" t="n"/>
      <c r="L490" s="10" t="n"/>
      <c r="M490" s="10" t="n"/>
      <c r="N490" s="10" t="n"/>
      <c r="O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>
        <f>IF(F491="","",F491-TODAY())</f>
        <v/>
      </c>
      <c r="I491" s="10" t="n"/>
      <c r="J491" s="10" t="n"/>
      <c r="K491" s="10" t="n"/>
      <c r="L491" s="10" t="n"/>
      <c r="M491" s="10" t="n"/>
      <c r="N491" s="10" t="n"/>
      <c r="O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>
        <f>IF(F492="","",F492-TODAY())</f>
        <v/>
      </c>
      <c r="I492" s="10" t="n"/>
      <c r="J492" s="10" t="n"/>
      <c r="K492" s="10" t="n"/>
      <c r="L492" s="10" t="n"/>
      <c r="M492" s="10" t="n"/>
      <c r="N492" s="10" t="n"/>
      <c r="O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>
        <f>IF(F493="","",F493-TODAY())</f>
        <v/>
      </c>
      <c r="I493" s="10" t="n"/>
      <c r="J493" s="10" t="n"/>
      <c r="K493" s="10" t="n"/>
      <c r="L493" s="10" t="n"/>
      <c r="M493" s="10" t="n"/>
      <c r="N493" s="10" t="n"/>
      <c r="O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>
        <f>IF(F494="","",F494-TODAY())</f>
        <v/>
      </c>
      <c r="I494" s="10" t="n"/>
      <c r="J494" s="10" t="n"/>
      <c r="K494" s="10" t="n"/>
      <c r="L494" s="10" t="n"/>
      <c r="M494" s="10" t="n"/>
      <c r="N494" s="10" t="n"/>
      <c r="O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>
        <f>IF(F495="","",F495-TODAY())</f>
        <v/>
      </c>
      <c r="I495" s="10" t="n"/>
      <c r="J495" s="10" t="n"/>
      <c r="K495" s="10" t="n"/>
      <c r="L495" s="10" t="n"/>
      <c r="M495" s="10" t="n"/>
      <c r="N495" s="10" t="n"/>
      <c r="O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>
        <f>IF(F496="","",F496-TODAY())</f>
        <v/>
      </c>
      <c r="I496" s="10" t="n"/>
      <c r="J496" s="10" t="n"/>
      <c r="K496" s="10" t="n"/>
      <c r="L496" s="10" t="n"/>
      <c r="M496" s="10" t="n"/>
      <c r="N496" s="10" t="n"/>
      <c r="O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>
        <f>IF(F497="","",F497-TODAY())</f>
        <v/>
      </c>
      <c r="I497" s="10" t="n"/>
      <c r="J497" s="10" t="n"/>
      <c r="K497" s="10" t="n"/>
      <c r="L497" s="10" t="n"/>
      <c r="M497" s="10" t="n"/>
      <c r="N497" s="10" t="n"/>
      <c r="O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>
        <f>IF(F498="","",F498-TODAY())</f>
        <v/>
      </c>
      <c r="I498" s="10" t="n"/>
      <c r="J498" s="10" t="n"/>
      <c r="K498" s="10" t="n"/>
      <c r="L498" s="10" t="n"/>
      <c r="M498" s="10" t="n"/>
      <c r="N498" s="10" t="n"/>
      <c r="O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>
        <f>IF(F499="","",F499-TODAY())</f>
        <v/>
      </c>
      <c r="I499" s="10" t="n"/>
      <c r="J499" s="10" t="n"/>
      <c r="K499" s="10" t="n"/>
      <c r="L499" s="10" t="n"/>
      <c r="M499" s="10" t="n"/>
      <c r="N499" s="10" t="n"/>
      <c r="O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>
        <f>IF(F500="","",F500-TODAY())</f>
        <v/>
      </c>
      <c r="I500" s="10" t="n"/>
      <c r="J500" s="10" t="n"/>
      <c r="K500" s="10" t="n"/>
      <c r="L500" s="10" t="n"/>
      <c r="M500" s="10" t="n"/>
      <c r="N500" s="10" t="n"/>
      <c r="O500" s="10" t="n"/>
    </row>
  </sheetData>
  <mergeCells count="1">
    <mergeCell ref="A1:O1"/>
  </mergeCells>
  <conditionalFormatting sqref="F3:F500">
    <cfRule type="expression" priority="2" dxfId="0">
      <formula>AND($F3&lt;&gt;"",$F3&lt;TODAY())</formula>
    </cfRule>
    <cfRule type="expression" priority="3" dxfId="2">
      <formula>AND($F3&lt;&gt;"",$F3&gt;=TODAY(),$F3-TODAY()&lt;=365)</formula>
    </cfRule>
  </conditionalFormatting>
  <conditionalFormatting sqref="H3:H500">
    <cfRule type="expression" priority="4" dxfId="0">
      <formula>AND(ISNUMBER(H3),H3&lt;0)</formula>
    </cfRule>
    <cfRule type="expression" priority="5" dxfId="2">
      <formula>AND(ISNUMBER(H3),H3&gt;=0,H3&lt;=365)</formula>
    </cfRule>
  </conditionalFormatting>
  <conditionalFormatting sqref="I3:I500">
    <cfRule type="expression" priority="6" dxfId="0">
      <formula>$I3="Critical"</formula>
    </cfRule>
    <cfRule type="expression" priority="7" dxfId="2">
      <formula>$I3="High"</formula>
    </cfRule>
  </conditionalFormatting>
  <dataValidations count="4">
    <dataValidation sqref="E3:E500" showDropDown="0" showInputMessage="0" showErrorMessage="1" allowBlank="1" errorTitle="Invalid entry" error="Please choose a value from the drop-down list." type="list">
      <formula1>"Actively maintained,No longer maintained,Abandoned,Unknown"</formula1>
      <formula2>0</formula2>
    </dataValidation>
    <dataValidation sqref="I3:I500" showDropDown="0" showInputMessage="0" showErrorMessage="1" allowBlank="1" errorTitle="Invalid entry" error="Please choose a value from the drop-down list." type="list">
      <formula1>"Low,Medium,High,Critical"</formula1>
      <formula2>0</formula2>
    </dataValidation>
    <dataValidation sqref="O3:O500" showDropDown="0" showInputMessage="0" showErrorMessage="1" allowBlank="1" errorTitle="Invalid entry" error="Please choose a value from the drop-down list." type="list">
      <formula1>"Planned,In Progress,Complete,Risk Accepted"</formula1>
      <formula2>0</formula2>
    </dataValidation>
    <dataValidation sqref="F3:G500 N3:N500" showDropDown="0" showInputMessage="0" showErrorMessage="1" allowBlank="1" errorTitle="Invalid date" error="Enter a real date (YYYY-MM-DD)." type="date" operator="greaterThan">
      <formula1>DATE(1990,1,1)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0"/>
  <sheetViews>
    <sheetView showGridLines="0" zoomScaleNormal="100" workbookViewId="0">
      <pane xSplit="1" ySplit="2" topLeftCell="B3" activePane="bottomRight" state="frozen"/>
      <selection pane="bottomRight" activeCell="E3" sqref="E3"/>
      <selection pane="bottomLeft" activeCell="A3" sqref="A3"/>
      <selection pane="topRight" activeCell="B1" sqref="B1"/>
    </sheetView>
  </sheetViews>
  <sheetFormatPr baseColWidth="8" defaultColWidth="8.5703125" defaultRowHeight="14.45"/>
  <cols>
    <col width="6" customWidth="1" min="1" max="1"/>
    <col width="28" customWidth="1" min="2" max="2"/>
    <col width="30" customWidth="1" min="3" max="3"/>
    <col width="26" customWidth="1" min="4" max="4"/>
    <col width="34" customWidth="1" min="5" max="5"/>
    <col width="16" customWidth="1" min="6" max="6"/>
    <col width="28" customWidth="1" min="7" max="7"/>
  </cols>
  <sheetData>
    <row r="1" ht="30" customHeight="1">
      <c r="A1" s="23" t="inlineStr">
        <is>
          <t>Supplier &amp; Security Contact Registry — supports Sec. 524B coordinated vulnerability disclosure (CVD) and supply-chain transparency expectations</t>
        </is>
      </c>
      <c r="B1" s="28" t="n"/>
      <c r="C1" s="28" t="n"/>
      <c r="D1" s="28" t="n"/>
      <c r="E1" s="28" t="n"/>
      <c r="F1" s="28" t="n"/>
      <c r="G1" s="29" t="n"/>
    </row>
    <row r="2" ht="26.1" customHeight="1">
      <c r="A2" s="4" t="inlineStr">
        <is>
          <t>#</t>
        </is>
      </c>
      <c r="B2" s="4" t="inlineStr">
        <is>
          <t>Supplier / Manufacturer Legal Name</t>
        </is>
      </c>
      <c r="C2" s="4" t="inlineStr">
        <is>
          <t>Component(s) Supplied</t>
        </is>
      </c>
      <c r="D2" s="4" t="inlineStr">
        <is>
          <t>Security / PSIRT Contact Email</t>
        </is>
      </c>
      <c r="E2" s="4" t="inlineStr">
        <is>
          <t>Coordinated Vulnerability Disclosure (CVD) Policy URL</t>
        </is>
      </c>
      <c r="F2" s="4" t="inlineStr">
        <is>
          <t>Vulnerability Feed Subscribed</t>
        </is>
      </c>
      <c r="G2" s="4" t="inlineStr">
        <is>
          <t>Notes</t>
        </is>
      </c>
    </row>
    <row r="3" ht="26.1" customHeight="1">
      <c r="A3" s="9" t="n"/>
      <c r="B3" s="9" t="n"/>
      <c r="C3" s="9" t="n"/>
      <c r="D3" s="9" t="n"/>
      <c r="E3" s="9" t="n"/>
      <c r="F3" s="9" t="n"/>
      <c r="G3" s="9" t="n"/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</row>
  </sheetData>
  <mergeCells count="1">
    <mergeCell ref="A1:G1"/>
  </mergeCells>
  <dataValidations count="1">
    <dataValidation sqref="F3:F500" showDropDown="0" showInputMessage="0" showErrorMessage="1" allowBlank="1" errorTitle="Invalid entry" error="Please choose a value from the drop-down list.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42"/>
  <sheetViews>
    <sheetView showGridLines="0" zoomScaleNormal="100" workbookViewId="0">
      <pane ySplit="4" topLeftCell="A30" activePane="bottomLeft" state="frozen"/>
      <selection pane="bottomLeft" activeCell="B15" sqref="B15:F15"/>
    </sheetView>
  </sheetViews>
  <sheetFormatPr baseColWidth="8" defaultColWidth="8.5703125" defaultRowHeight="14.45"/>
  <cols>
    <col width="4" customWidth="1" min="1" max="1"/>
    <col width="38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2" ht="18.95" customHeight="1">
      <c r="B2" s="25" t="inlineStr">
        <is>
          <t>FDA Compliance Dashboard — live, self-checking, computed from your data</t>
        </is>
      </c>
    </row>
    <row r="4" ht="30" customHeight="1">
      <c r="B4" s="5" t="inlineStr">
        <is>
          <t>Composite FDA Readiness Score  (average of every completeness row below)</t>
        </is>
      </c>
      <c r="C4" s="7">
        <f>AVERAGE(D8:D13,D17:D23,D27:D28)</f>
        <v/>
      </c>
      <c r="D4" s="11">
        <f>IF(C4&gt;=0.85,"Ready",IF(C4&gt;=0.5,"Partial — Gaps Remain","Not Ready"))</f>
        <v/>
      </c>
      <c r="F4" s="12" t="inlineStr">
        <is>
          <t>This is a completeness score for this template's data, not an FDA-issued figure — it flags gaps, it does not grant clearance.</t>
        </is>
      </c>
    </row>
    <row r="6">
      <c r="B6" s="19" t="inlineStr">
        <is>
          <t xml:space="preserve">  NTIA Minimum Elements</t>
        </is>
      </c>
    </row>
    <row r="7">
      <c r="A7" s="4" t="inlineStr">
        <is>
          <t>#</t>
        </is>
      </c>
      <c r="B7" s="4" t="inlineStr">
        <is>
          <t>Element</t>
        </is>
      </c>
      <c r="C7" s="4" t="inlineStr">
        <is>
          <t>Category</t>
        </is>
      </c>
      <c r="D7" s="4" t="inlineStr">
        <is>
          <t>Completion</t>
        </is>
      </c>
      <c r="E7" s="4" t="inlineStr">
        <is>
          <t>Status</t>
        </is>
      </c>
      <c r="F7" s="4" t="inlineStr">
        <is>
          <t>How It's Calculated</t>
        </is>
      </c>
    </row>
    <row r="8" ht="30" customHeight="1">
      <c r="A8" s="13" t="n">
        <v>1</v>
      </c>
      <c r="B8" s="10" t="inlineStr">
        <is>
          <t>Supplier Name</t>
        </is>
      </c>
      <c r="C8" s="10" t="inlineStr">
        <is>
          <t>NTIA min.</t>
        </is>
      </c>
      <c r="D8" s="14">
        <f>IFERROR(COUNTA('SBOM Components'!$D$3:$D$500)/COUNTA('SBOM Components'!$B$3:$B$500),0)</f>
        <v/>
      </c>
      <c r="E8" s="15">
        <f>IF(D8&gt;=0.95,"Complete",IF(D8&gt;0,"Partial","Missing"))</f>
        <v/>
      </c>
      <c r="F8" s="10" t="inlineStr">
        <is>
          <t>Non-blank ‘Supplier / Legal Entity Name’ cells ÷ components entered.</t>
        </is>
      </c>
    </row>
    <row r="9" ht="30" customHeight="1">
      <c r="A9" s="13" t="n">
        <v>2</v>
      </c>
      <c r="B9" s="10" t="inlineStr">
        <is>
          <t>Version</t>
        </is>
      </c>
      <c r="C9" s="10" t="inlineStr">
        <is>
          <t>NTIA min.</t>
        </is>
      </c>
      <c r="D9" s="14">
        <f>IFERROR(COUNTA('SBOM Components'!$C$3:$C$500)/COUNTA('SBOM Components'!$B$3:$B$500),0)</f>
        <v/>
      </c>
      <c r="E9" s="15">
        <f>IF(D9&gt;=0.95,"Complete",IF(D9&gt;0,"Partial","Missing"))</f>
        <v/>
      </c>
      <c r="F9" s="10" t="inlineStr">
        <is>
          <t>Non-blank ‘Version’ cells ÷ components entered.</t>
        </is>
      </c>
    </row>
    <row r="10" ht="30" customHeight="1">
      <c r="A10" s="13" t="n">
        <v>3</v>
      </c>
      <c r="B10" s="10" t="inlineStr">
        <is>
          <t>Unique Identifier (PURL/CPE/SWID)</t>
        </is>
      </c>
      <c r="C10" s="10" t="inlineStr">
        <is>
          <t>NTIA min.</t>
        </is>
      </c>
      <c r="D10" s="14">
        <f>IFERROR(COUNTA('SBOM Components'!$F$3:$F$500)/COUNTA('SBOM Components'!$B$3:$B$500),0)</f>
        <v/>
      </c>
      <c r="E10" s="15">
        <f>IF(D10&gt;=0.95,"Complete",IF(D10&gt;0,"Partial","Missing"))</f>
        <v/>
      </c>
      <c r="F10" s="10" t="inlineStr">
        <is>
          <t>Non-blank ‘Unique ID Value’ cells ÷ components entered.</t>
        </is>
      </c>
    </row>
    <row r="11" ht="30" customHeight="1">
      <c r="A11" s="13" t="n">
        <v>4</v>
      </c>
      <c r="B11" s="10" t="inlineStr">
        <is>
          <t>Dependency Relationship (structured)</t>
        </is>
      </c>
      <c r="C11" s="10" t="inlineStr">
        <is>
          <t>NTIA min.</t>
        </is>
      </c>
      <c r="D11" s="14">
        <f>IFERROR(COUNTA('SBOM Components'!$G$3:$G$500)/COUNTA('SBOM Components'!$B$3:$B$500),0)</f>
        <v/>
      </c>
      <c r="E11" s="15">
        <f>IF(D11&gt;=0.95,"Complete",IF(D11&gt;0,"Partial","Missing"))</f>
        <v/>
      </c>
      <c r="F11" s="10" t="inlineStr">
        <is>
          <t>Non-blank ‘Dependency Type’ cells ÷ components entered.</t>
        </is>
      </c>
    </row>
    <row r="12" ht="30" customHeight="1">
      <c r="A12" s="13" t="n">
        <v>5</v>
      </c>
      <c r="B12" s="10" t="inlineStr">
        <is>
          <t>SBOM Author (document-level)</t>
        </is>
      </c>
      <c r="C12" s="10" t="inlineStr">
        <is>
          <t>NTIA min.</t>
        </is>
      </c>
      <c r="D12" s="14">
        <f>IF('SBOM Metadata'!$C$18&lt;&gt;"",1,0)</f>
        <v/>
      </c>
      <c r="E12" s="15">
        <f>IF(D12&gt;=0.95,"Complete",IF(D12&gt;0,"Partial","Missing"))</f>
        <v/>
      </c>
      <c r="F12" s="10" t="inlineStr">
        <is>
          <t>1 if ‘Author Email’ is completed on SBOM Metadata, else 0.</t>
        </is>
      </c>
    </row>
    <row r="13" ht="30" customHeight="1">
      <c r="A13" s="13" t="n">
        <v>6</v>
      </c>
      <c r="B13" s="10" t="inlineStr">
        <is>
          <t>Timestamp (document-level)</t>
        </is>
      </c>
      <c r="C13" s="10" t="inlineStr">
        <is>
          <t>NTIA min.</t>
        </is>
      </c>
      <c r="D13" s="14">
        <f>IF('SBOM Metadata'!$C$19&lt;&gt;"",1,0)</f>
        <v/>
      </c>
      <c r="E13" s="15">
        <f>IF(D13&gt;=0.95,"Complete",IF(D13&gt;0,"Partial","Missing"))</f>
        <v/>
      </c>
      <c r="F13" s="10" t="inlineStr">
        <is>
          <t>1 if ‘SBOM Timestamp’ is completed on SBOM Metadata, else 0.</t>
        </is>
      </c>
    </row>
    <row r="15">
      <c r="B15" s="19" t="inlineStr">
        <is>
          <t xml:space="preserve">  FDA Additional Elements (Sec. VII.C.3 / Premarket Expectations)</t>
        </is>
      </c>
    </row>
    <row r="16">
      <c r="A16" s="4" t="inlineStr">
        <is>
          <t>#</t>
        </is>
      </c>
      <c r="B16" s="4" t="inlineStr">
        <is>
          <t>Element</t>
        </is>
      </c>
      <c r="C16" s="4" t="inlineStr">
        <is>
          <t>Category</t>
        </is>
      </c>
      <c r="D16" s="4" t="inlineStr">
        <is>
          <t>Completion</t>
        </is>
      </c>
      <c r="E16" s="4" t="inlineStr">
        <is>
          <t>Status</t>
        </is>
      </c>
      <c r="F16" s="4" t="inlineStr">
        <is>
          <t>How It's Calculated</t>
        </is>
      </c>
    </row>
    <row r="17" ht="30" customHeight="1">
      <c r="A17" s="13" t="n">
        <v>1</v>
      </c>
      <c r="B17" s="10" t="inlineStr">
        <is>
          <t>End-of-Support (EOS) Date</t>
        </is>
      </c>
      <c r="C17" s="10" t="inlineStr">
        <is>
          <t>FDA Sec. VII.C.3</t>
        </is>
      </c>
      <c r="D17" s="14">
        <f>IFERROR(COUNTA('SBOM Components'!$T$3:$T$500)/COUNTA('SBOM Components'!$B$3:$B$500),0)</f>
        <v/>
      </c>
      <c r="E17" s="15">
        <f>IF(D17&gt;=0.95,"Complete",IF(D17&gt;0,"Partial","Missing"))</f>
        <v/>
      </c>
      <c r="F17" s="10" t="inlineStr">
        <is>
          <t>Non-blank EOS Date cells ÷ components entered.</t>
        </is>
      </c>
    </row>
    <row r="18" ht="30" customHeight="1">
      <c r="A18" s="13" t="n">
        <v>2</v>
      </c>
      <c r="B18" s="10" t="inlineStr">
        <is>
          <t>End-of-Life (EOL) Date</t>
        </is>
      </c>
      <c r="C18" s="10" t="inlineStr">
        <is>
          <t>FDA expectation</t>
        </is>
      </c>
      <c r="D18" s="14">
        <f>IFERROR(COUNTA('SBOM Components'!$U$3:$U$500)/COUNTA('SBOM Components'!$B$3:$B$500),0)</f>
        <v/>
      </c>
      <c r="E18" s="15">
        <f>IF(D18&gt;=0.95,"Complete",IF(D18&gt;0,"Partial","Missing"))</f>
        <v/>
      </c>
      <c r="F18" s="10" t="inlineStr">
        <is>
          <t>Non-blank EOL Date cells ÷ components entered.</t>
        </is>
      </c>
    </row>
    <row r="19" ht="30" customHeight="1">
      <c r="A19" s="13" t="n">
        <v>3</v>
      </c>
      <c r="B19" s="10" t="inlineStr">
        <is>
          <t>Level of Support Known (not Unknown/blank)</t>
        </is>
      </c>
      <c r="C19" s="10" t="inlineStr">
        <is>
          <t>FDA Sec. VII.C.3</t>
        </is>
      </c>
      <c r="D19" s="14">
        <f>IFERROR((COUNTA('SBOM Components'!$S$3:$S$500)-COUNTIF('SBOM Components'!$S$3:$S$500,"Unknown"))/COUNTA('SBOM Components'!$B$3:$B$500),0)</f>
        <v/>
      </c>
      <c r="E19" s="15">
        <f>IF(D19&gt;=0.95,"Complete",IF(D19&gt;0,"Partial","Missing"))</f>
        <v/>
      </c>
      <c r="F19" s="10" t="inlineStr">
        <is>
          <t>Components with a Level of Support other than ‘Unknown’ ÷ components entered.</t>
        </is>
      </c>
    </row>
    <row r="20" ht="30" customHeight="1">
      <c r="A20" s="13" t="n">
        <v>4</v>
      </c>
      <c r="B20" s="10" t="inlineStr">
        <is>
          <t>Known Vulnerabilities Recorded</t>
        </is>
      </c>
      <c r="C20" s="10" t="inlineStr">
        <is>
          <t>FDA premarket expectation</t>
        </is>
      </c>
      <c r="D20" s="14">
        <f>IFERROR(COUNTA('SBOM Components'!$X$3:$X$500)/COUNTA('SBOM Components'!$B$3:$B$500),0)</f>
        <v/>
      </c>
      <c r="E20" s="15">
        <f>IF(D20&gt;=0.95,"Complete",IF(D20&gt;0,"Partial","Missing"))</f>
        <v/>
      </c>
      <c r="F20" s="10" t="inlineStr">
        <is>
          <t>Non-blank ‘Known Vulnerabilities’ cells ÷ components entered (0 CVEs found should still be marked ‘None known’).</t>
        </is>
      </c>
    </row>
    <row r="21" ht="30" customHeight="1">
      <c r="A21" s="13" t="n">
        <v>5</v>
      </c>
      <c r="B21" s="10" t="inlineStr">
        <is>
          <t>Vulnerability Remediation Status / VEX Resolved</t>
        </is>
      </c>
      <c r="C21" s="10" t="inlineStr">
        <is>
          <t>FDA premarket expectation</t>
        </is>
      </c>
      <c r="D21" s="14">
        <f>IFERROR((COUNTA('Vulnerabilities &amp; VEX'!$D$3:$D$500)-COUNTIF('Vulnerabilities &amp; VEX'!$K$3:$K$500,"Under Investigation"))/COUNTA('Vulnerabilities &amp; VEX'!$D$3:$D$500),0)</f>
        <v/>
      </c>
      <c r="E21" s="15">
        <f>IF(D21&gt;=0.95,"Complete",IF(D21&gt;0,"Partial","Missing"))</f>
        <v/>
      </c>
      <c r="F21" s="10" t="inlineStr">
        <is>
          <t>Vulnerabilities whose VEX Status has moved past ‘Under Investigation’ ÷ vulnerabilities logged.</t>
        </is>
      </c>
    </row>
    <row r="22" ht="30" customHeight="1">
      <c r="A22" s="13" t="n">
        <v>6</v>
      </c>
      <c r="B22" s="10" t="inlineStr">
        <is>
          <t>Component Hash / Checksum Present</t>
        </is>
      </c>
      <c r="C22" s="10" t="inlineStr">
        <is>
          <t>Supply-chain integrity</t>
        </is>
      </c>
      <c r="D22" s="14">
        <f>IFERROR(COUNTA('SBOM Components'!$Z$3:$Z$500)/COUNTA('SBOM Components'!$B$3:$B$500),0)</f>
        <v/>
      </c>
      <c r="E22" s="15">
        <f>IF(D22&gt;=0.95,"Complete",IF(D22&gt;0,"Partial","Missing"))</f>
        <v/>
      </c>
      <c r="F22" s="10" t="inlineStr">
        <is>
          <t>Non-blank ‘Component Hash / Checksum’ cells ÷ components entered.</t>
        </is>
      </c>
    </row>
    <row r="23" ht="30" customHeight="1">
      <c r="A23" s="13" t="n">
        <v>7</v>
      </c>
      <c r="B23" s="10" t="inlineStr">
        <is>
          <t>Cryptographic Signature Status Recorded</t>
        </is>
      </c>
      <c r="C23" s="10" t="inlineStr">
        <is>
          <t>Supply-chain integrity</t>
        </is>
      </c>
      <c r="D23" s="14">
        <f>IFERROR(COUNTA('SBOM Components'!$AA$3:$AA$500)/COUNTA('SBOM Components'!$B$3:$B$500),0)</f>
        <v/>
      </c>
      <c r="E23" s="15">
        <f>IF(D23&gt;=0.95,"Complete",IF(D23&gt;0,"Partial","Missing"))</f>
        <v/>
      </c>
      <c r="F23" s="10" t="inlineStr">
        <is>
          <t>Non-blank ‘Cryptographic Signature Status’ cells ÷ components entered.</t>
        </is>
      </c>
    </row>
    <row r="25">
      <c r="B25" s="19" t="inlineStr">
        <is>
          <t xml:space="preserve">  Supply-Chain Breadth</t>
        </is>
      </c>
    </row>
    <row r="26">
      <c r="A26" s="4" t="inlineStr">
        <is>
          <t>#</t>
        </is>
      </c>
      <c r="B26" s="4" t="inlineStr">
        <is>
          <t>Element</t>
        </is>
      </c>
      <c r="C26" s="4" t="inlineStr">
        <is>
          <t>Category</t>
        </is>
      </c>
      <c r="D26" s="4" t="inlineStr">
        <is>
          <t>Completion</t>
        </is>
      </c>
      <c r="E26" s="4" t="inlineStr">
        <is>
          <t>Status</t>
        </is>
      </c>
      <c r="F26" s="4" t="inlineStr">
        <is>
          <t>How It's Calculated</t>
        </is>
      </c>
    </row>
    <row r="27" ht="30" customHeight="1">
      <c r="A27" s="13" t="n">
        <v>1</v>
      </c>
      <c r="B27" s="10" t="inlineStr">
        <is>
          <t>OS / Container / Firmware / 3rd-Party Dependencies Logged</t>
        </is>
      </c>
      <c r="C27" s="10" t="inlineStr">
        <is>
          <t>Supply-chain transparency</t>
        </is>
      </c>
      <c r="D27" s="14">
        <f>IF(COUNTA('Environment &amp; 3rd-Party Deps'!$C$3:$C$500)&gt;0,1,0)</f>
        <v/>
      </c>
      <c r="E27" s="15">
        <f>IF(D27&gt;=0.95,"Complete",IF(D27&gt;0,"Partial","Missing"))</f>
        <v/>
      </c>
      <c r="F27" s="10" t="inlineStr">
        <is>
          <t>1 if at least one row is entered on the Environment &amp; 3rd-Party Deps tab.</t>
        </is>
      </c>
    </row>
    <row r="28" ht="30" customHeight="1">
      <c r="A28" s="13" t="n">
        <v>2</v>
      </c>
      <c r="B28" s="10" t="inlineStr">
        <is>
          <t>Supplier Security Contacts / CVD Registered</t>
        </is>
      </c>
      <c r="C28" s="10" t="inlineStr">
        <is>
          <t>Sec. 524B — CVD</t>
        </is>
      </c>
      <c r="D28" s="14">
        <f>IF(COUNTA('Supplier &amp; Security Contacts'!$B$3:$B$500)&gt;0,1,0)</f>
        <v/>
      </c>
      <c r="E28" s="15">
        <f>IF(D28&gt;=0.95,"Complete",IF(D28&gt;0,"Partial","Missing"))</f>
        <v/>
      </c>
      <c r="F28" s="10" t="inlineStr">
        <is>
          <t>1 if at least one row is entered on the Supplier &amp; Security Contacts tab.</t>
        </is>
      </c>
    </row>
    <row r="31">
      <c r="B31" s="19" t="inlineStr">
        <is>
          <t xml:space="preserve">  Quick Stats (live counts)</t>
        </is>
      </c>
    </row>
    <row r="32" ht="15" customHeight="1">
      <c r="B32" s="4" t="inlineStr">
        <is>
          <t>Metric</t>
        </is>
      </c>
      <c r="C32" s="4" t="inlineStr">
        <is>
          <t>Count</t>
        </is>
      </c>
      <c r="D32" s="18" t="inlineStr">
        <is>
          <t>Notes</t>
        </is>
      </c>
      <c r="E32" s="28" t="n"/>
      <c r="F32" s="28" t="n"/>
    </row>
    <row r="33">
      <c r="B33" s="5" t="inlineStr">
        <is>
          <t>Total components listed</t>
        </is>
      </c>
      <c r="C33" s="16">
        <f>'SBOM Components'!$AF$1</f>
        <v/>
      </c>
      <c r="D33" s="17" t="n"/>
      <c r="E33" s="28" t="n"/>
      <c r="F33" s="28" t="n"/>
    </row>
    <row r="34">
      <c r="B34" s="5" t="inlineStr">
        <is>
          <t>Components PAST end-of-support</t>
        </is>
      </c>
      <c r="C34" s="16">
        <f>'SBOM Components'!$AF$2</f>
        <v/>
      </c>
      <c r="D34" s="17" t="n"/>
      <c r="E34" s="28" t="n"/>
      <c r="F34" s="28" t="n"/>
    </row>
    <row r="35">
      <c r="B35" s="5" t="inlineStr">
        <is>
          <t>Components with EOS within 12 months</t>
        </is>
      </c>
      <c r="C35" s="16">
        <f>'SBOM Components'!$AF$3</f>
        <v/>
      </c>
      <c r="D35" s="17" t="n"/>
      <c r="E35" s="28" t="n"/>
      <c r="F35" s="28" t="n"/>
    </row>
    <row r="36" ht="26.1" customHeight="1">
      <c r="B36" s="5" t="inlineStr">
        <is>
          <t>Components unsupported / unknown support status</t>
        </is>
      </c>
      <c r="C36" s="16">
        <f>'SBOM Components'!$AF$4</f>
        <v/>
      </c>
      <c r="D36" s="17" t="n"/>
      <c r="E36" s="28" t="n"/>
      <c r="F36" s="28" t="n"/>
    </row>
    <row r="37">
      <c r="B37" s="5" t="inlineStr">
        <is>
          <t>Total vulnerabilities logged</t>
        </is>
      </c>
      <c r="C37" s="16">
        <f>'Vulnerabilities &amp; VEX'!$V$1</f>
        <v/>
      </c>
      <c r="D37" s="17" t="n"/>
      <c r="E37" s="28" t="n"/>
      <c r="F37" s="28" t="n"/>
    </row>
    <row r="38">
      <c r="B38" s="5" t="inlineStr">
        <is>
          <t>Open Critical / High vulnerabilities</t>
        </is>
      </c>
      <c r="C38" s="16">
        <f>'Vulnerabilities &amp; VEX'!$V$2</f>
        <v/>
      </c>
      <c r="D38" s="17" t="n"/>
      <c r="E38" s="28" t="n"/>
      <c r="F38" s="28" t="n"/>
    </row>
    <row r="39">
      <c r="B39" s="5" t="inlineStr">
        <is>
          <t>Vulnerabilities missing a VEX justification</t>
        </is>
      </c>
      <c r="C39" s="16">
        <f>'Vulnerabilities &amp; VEX'!$V$3</f>
        <v/>
      </c>
      <c r="D39" s="17" t="n"/>
      <c r="E39" s="28" t="n"/>
      <c r="F39" s="28" t="n"/>
    </row>
    <row r="40">
      <c r="B40" s="5" t="inlineStr">
        <is>
          <t>Vulnerabilities still 'Under Investigation'</t>
        </is>
      </c>
      <c r="C40" s="16">
        <f>'Vulnerabilities &amp; VEX'!$V$4</f>
        <v/>
      </c>
      <c r="D40" s="17" t="n"/>
      <c r="E40" s="28" t="n"/>
      <c r="F40" s="28" t="n"/>
    </row>
    <row r="41" ht="26.1" customHeight="1">
      <c r="B41" s="5" t="inlineStr">
        <is>
          <t>Vulnerabilities missing a numeric CVSS score</t>
        </is>
      </c>
      <c r="C41" s="16">
        <f>'Vulnerabilities &amp; VEX'!$V$5</f>
        <v/>
      </c>
      <c r="D41" s="17" t="n"/>
      <c r="E41" s="28" t="n"/>
      <c r="F41" s="28" t="n"/>
    </row>
    <row r="42" ht="26.1" customHeight="1">
      <c r="B42" s="5" t="inlineStr">
        <is>
          <t>Vulnerabilities missing a target resolution date</t>
        </is>
      </c>
      <c r="C42" s="16">
        <f>'Vulnerabilities &amp; VEX'!$V$6</f>
        <v/>
      </c>
      <c r="D42" s="17" t="n"/>
      <c r="E42" s="28" t="n"/>
      <c r="F42" s="28" t="n"/>
    </row>
  </sheetData>
  <mergeCells count="16">
    <mergeCell ref="D42:F42"/>
    <mergeCell ref="D38:F38"/>
    <mergeCell ref="B6:F6"/>
    <mergeCell ref="B2:F2"/>
    <mergeCell ref="D37:F37"/>
    <mergeCell ref="B15:F15"/>
    <mergeCell ref="D41:F41"/>
    <mergeCell ref="B25:F25"/>
    <mergeCell ref="D32:F32"/>
    <mergeCell ref="D40:F40"/>
    <mergeCell ref="D35:F35"/>
    <mergeCell ref="D36:F36"/>
    <mergeCell ref="B31:F31"/>
    <mergeCell ref="D39:F39"/>
    <mergeCell ref="D33:F33"/>
    <mergeCell ref="D34:F34"/>
  </mergeCells>
  <conditionalFormatting sqref="D4">
    <cfRule type="expression" priority="2" dxfId="4">
      <formula>D4="Complete"</formula>
    </cfRule>
    <cfRule type="expression" priority="3" dxfId="4">
      <formula>D4="Ready"</formula>
    </cfRule>
    <cfRule type="expression" priority="4" dxfId="2">
      <formula>D4="Partial"</formula>
    </cfRule>
    <cfRule type="expression" priority="5" dxfId="2">
      <formula>D4="Partial — Gaps Remain"</formula>
    </cfRule>
    <cfRule type="expression" priority="6" dxfId="0">
      <formula>D4="Missing"</formula>
    </cfRule>
    <cfRule type="expression" priority="7" dxfId="0">
      <formula>D4="Not Ready"</formula>
    </cfRule>
  </conditionalFormatting>
  <conditionalFormatting sqref="E8:E13">
    <cfRule type="expression" priority="8" dxfId="4">
      <formula>E8="Complete"</formula>
    </cfRule>
    <cfRule type="expression" priority="9" dxfId="4">
      <formula>E8="Ready"</formula>
    </cfRule>
    <cfRule type="expression" priority="10" dxfId="2">
      <formula>E8="Partial"</formula>
    </cfRule>
    <cfRule type="expression" priority="11" dxfId="2">
      <formula>E8="Partial — Gaps Remain"</formula>
    </cfRule>
    <cfRule type="expression" priority="12" dxfId="0">
      <formula>E8="Missing"</formula>
    </cfRule>
    <cfRule type="expression" priority="13" dxfId="0">
      <formula>E8="Not Ready"</formula>
    </cfRule>
  </conditionalFormatting>
  <conditionalFormatting sqref="E17:E23">
    <cfRule type="expression" priority="14" dxfId="4">
      <formula>E17="Complete"</formula>
    </cfRule>
    <cfRule type="expression" priority="15" dxfId="4">
      <formula>E17="Ready"</formula>
    </cfRule>
    <cfRule type="expression" priority="16" dxfId="2">
      <formula>E17="Partial"</formula>
    </cfRule>
    <cfRule type="expression" priority="17" dxfId="2">
      <formula>E17="Partial — Gaps Remain"</formula>
    </cfRule>
    <cfRule type="expression" priority="18" dxfId="0">
      <formula>E17="Missing"</formula>
    </cfRule>
    <cfRule type="expression" priority="19" dxfId="0">
      <formula>E17="Not Ready"</formula>
    </cfRule>
  </conditionalFormatting>
  <conditionalFormatting sqref="E27:E28">
    <cfRule type="expression" priority="20" dxfId="4">
      <formula>E27="Complete"</formula>
    </cfRule>
    <cfRule type="expression" priority="21" dxfId="4">
      <formula>E27="Ready"</formula>
    </cfRule>
    <cfRule type="expression" priority="22" dxfId="2">
      <formula>E27="Partial"</formula>
    </cfRule>
    <cfRule type="expression" priority="23" dxfId="2">
      <formula>E27="Partial — Gaps Remain"</formula>
    </cfRule>
    <cfRule type="expression" priority="24" dxfId="0">
      <formula>E27="Missing"</formula>
    </cfRule>
    <cfRule type="expression" priority="25" dxfId="0">
      <formula>E27="Not Ready"</formula>
    </cfRule>
  </conditionalFormatting>
  <pageMargins left="0.75" right="0.75" top="1" bottom="1" header="0.511811023622047" footer="0.511811023622047"/>
  <pageSetup orientation="portrait" paperSize="9" horizontalDpi="300" verticalDpi="300"/>
  <headerFooter>
    <oddHeader>&amp;L&amp;"Aptos"&amp;1 &amp;K008000 Classification: Internal#_x000d_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2026-09-02T10:38:34Z</dcterms:created>
  <dcterms:modified xmlns:dcterms="http://purl.org/dc/terms/" xmlns:xsi="http://www.w3.org/2001/XMLSchema-instance" xsi:type="dcterms:W3CDTF">2026-10-20T09:16:20Z</dcterms:modified>
  <cp:lastModifiedBy>Feroze Basha S</cp:lastModifiedBy>
  <cp:revision>0</cp:revision>
</cp:coreProperties>
</file>

<file path=docProps/custom.xml><?xml version="1.0" encoding="utf-8"?>
<Properties xmlns="http://schemas.openxmlformats.org/officeDocument/2006/custom-properties">
  <property name="MSIP_Label_556dfe78-8a37-4fb5-b4aa-b92b97e18d15_Enabled" fmtid="{D5CDD505-2E9C-101B-9397-08002B2CF9AE}" pid="2">
    <vt:lpwstr xmlns:vt="http://schemas.openxmlformats.org/officeDocument/2006/docPropsVTypes">true</vt:lpwstr>
  </property>
  <property name="MSIP_Label_556dfe78-8a37-4fb5-b4aa-b92b97e18d15_SetDate" fmtid="{D5CDD505-2E9C-101B-9397-08002B2CF9AE}" pid="3">
    <vt:lpwstr xmlns:vt="http://schemas.openxmlformats.org/officeDocument/2006/docPropsVTypes">2026-09-02T10:57:35Z</vt:lpwstr>
  </property>
  <property name="MSIP_Label_556dfe78-8a37-4fb5-b4aa-b92b97e18d15_Method" fmtid="{D5CDD505-2E9C-101B-9397-08002B2CF9AE}" pid="4">
    <vt:lpwstr xmlns:vt="http://schemas.openxmlformats.org/officeDocument/2006/docPropsVTypes">Standard</vt:lpwstr>
  </property>
  <property name="MSIP_Label_556dfe78-8a37-4fb5-b4aa-b92b97e18d15_Name" fmtid="{D5CDD505-2E9C-101B-9397-08002B2CF9AE}" pid="5">
    <vt:lpwstr xmlns:vt="http://schemas.openxmlformats.org/officeDocument/2006/docPropsVTypes">Internal</vt:lpwstr>
  </property>
  <property name="MSIP_Label_556dfe78-8a37-4fb5-b4aa-b92b97e18d15_SiteId" fmtid="{D5CDD505-2E9C-101B-9397-08002B2CF9AE}" pid="6">
    <vt:lpwstr xmlns:vt="http://schemas.openxmlformats.org/officeDocument/2006/docPropsVTypes">189de737-c93a-4f5a-8b68-6f4ca9941912</vt:lpwstr>
  </property>
  <property name="MSIP_Label_556dfe78-8a37-4fb5-b4aa-b92b97e18d15_ActionId" fmtid="{D5CDD505-2E9C-101B-9397-08002B2CF9AE}" pid="7">
    <vt:lpwstr xmlns:vt="http://schemas.openxmlformats.org/officeDocument/2006/docPropsVTypes">1a984177-8a94-4229-8797-0276e4bc58f9</vt:lpwstr>
  </property>
  <property name="MSIP_Label_556dfe78-8a37-4fb5-b4aa-b92b97e18d15_ContentBits" fmtid="{D5CDD505-2E9C-101B-9397-08002B2CF9AE}" pid="8">
    <vt:lpwstr xmlns:vt="http://schemas.openxmlformats.org/officeDocument/2006/docPropsVTypes">1</vt:lpwstr>
  </property>
  <property name="MSIP_Label_556dfe78-8a37-4fb5-b4aa-b92b97e18d15_Tag" fmtid="{D5CDD505-2E9C-101B-9397-08002B2CF9AE}" pid="9">
    <vt:lpwstr xmlns:vt="http://schemas.openxmlformats.org/officeDocument/2006/docPropsVTypes">10, 3, 0, 1</vt:lpwstr>
  </property>
</Properties>
</file>