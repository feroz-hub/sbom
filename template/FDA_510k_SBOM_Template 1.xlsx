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sbom\template\"/>
    </mc:Choice>
  </mc:AlternateContent>
  <xr:revisionPtr revIDLastSave="0" documentId="13_ncr:1_{B3B781DD-9F3D-4AD8-B746-C3527FE3EA1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Instructions" sheetId="1" r:id="rId1"/>
    <sheet name="SBOM Metadata" sheetId="2" r:id="rId2"/>
    <sheet name="SBOM Components" sheetId="3" r:id="rId3"/>
    <sheet name="Vulnerabilities &amp; VEX" sheetId="4" r:id="rId4"/>
    <sheet name="Lifecycle &amp; Support Pla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5" l="1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O121" i="3"/>
  <c r="N121" i="3"/>
  <c r="O120" i="3"/>
  <c r="N120" i="3"/>
  <c r="O119" i="3"/>
  <c r="N119" i="3"/>
  <c r="O118" i="3"/>
  <c r="N118" i="3"/>
  <c r="O117" i="3"/>
  <c r="N117" i="3"/>
  <c r="O116" i="3"/>
  <c r="N116" i="3"/>
  <c r="O115" i="3"/>
  <c r="N115" i="3"/>
  <c r="O114" i="3"/>
  <c r="N114" i="3"/>
  <c r="O113" i="3"/>
  <c r="N113" i="3"/>
  <c r="O112" i="3"/>
  <c r="N112" i="3"/>
  <c r="O111" i="3"/>
  <c r="N111" i="3"/>
  <c r="O110" i="3"/>
  <c r="N110" i="3"/>
  <c r="O109" i="3"/>
  <c r="N109" i="3"/>
  <c r="O108" i="3"/>
  <c r="N108" i="3"/>
  <c r="O107" i="3"/>
  <c r="N107" i="3"/>
  <c r="O106" i="3"/>
  <c r="N106" i="3"/>
  <c r="O105" i="3"/>
  <c r="N105" i="3"/>
  <c r="O104" i="3"/>
  <c r="N104" i="3"/>
  <c r="O103" i="3"/>
  <c r="N103" i="3"/>
  <c r="O102" i="3"/>
  <c r="N102" i="3"/>
  <c r="O101" i="3"/>
  <c r="N101" i="3"/>
  <c r="O100" i="3"/>
  <c r="N100" i="3"/>
  <c r="O99" i="3"/>
  <c r="N99" i="3"/>
  <c r="O98" i="3"/>
  <c r="N98" i="3"/>
  <c r="O97" i="3"/>
  <c r="N97" i="3"/>
  <c r="O96" i="3"/>
  <c r="N96" i="3"/>
  <c r="O95" i="3"/>
  <c r="N95" i="3"/>
  <c r="O94" i="3"/>
  <c r="N94" i="3"/>
  <c r="O93" i="3"/>
  <c r="N93" i="3"/>
  <c r="O92" i="3"/>
  <c r="N92" i="3"/>
  <c r="O91" i="3"/>
  <c r="N91" i="3"/>
  <c r="O90" i="3"/>
  <c r="N90" i="3"/>
  <c r="O89" i="3"/>
  <c r="N89" i="3"/>
  <c r="O88" i="3"/>
  <c r="N88" i="3"/>
  <c r="O87" i="3"/>
  <c r="N87" i="3"/>
  <c r="O86" i="3"/>
  <c r="N86" i="3"/>
  <c r="O85" i="3"/>
  <c r="N85" i="3"/>
  <c r="O84" i="3"/>
  <c r="N84" i="3"/>
  <c r="O83" i="3"/>
  <c r="N83" i="3"/>
  <c r="O82" i="3"/>
  <c r="N82" i="3"/>
  <c r="O81" i="3"/>
  <c r="N81" i="3"/>
  <c r="O80" i="3"/>
  <c r="N80" i="3"/>
  <c r="O79" i="3"/>
  <c r="N79" i="3"/>
  <c r="O78" i="3"/>
  <c r="N78" i="3"/>
  <c r="O77" i="3"/>
  <c r="N77" i="3"/>
  <c r="O76" i="3"/>
  <c r="N76" i="3"/>
  <c r="O75" i="3"/>
  <c r="N75" i="3"/>
  <c r="O74" i="3"/>
  <c r="N74" i="3"/>
  <c r="O73" i="3"/>
  <c r="N73" i="3"/>
  <c r="O72" i="3"/>
  <c r="N72" i="3"/>
  <c r="O71" i="3"/>
  <c r="N71" i="3"/>
  <c r="O70" i="3"/>
  <c r="N70" i="3"/>
  <c r="O69" i="3"/>
  <c r="N69" i="3"/>
  <c r="O68" i="3"/>
  <c r="N68" i="3"/>
  <c r="O67" i="3"/>
  <c r="N67" i="3"/>
  <c r="O66" i="3"/>
  <c r="N66" i="3"/>
  <c r="O65" i="3"/>
  <c r="N65" i="3"/>
  <c r="O64" i="3"/>
  <c r="N64" i="3"/>
  <c r="O63" i="3"/>
  <c r="N63" i="3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C34" i="2"/>
  <c r="C33" i="2"/>
  <c r="C32" i="2"/>
  <c r="C29" i="2"/>
  <c r="C31" i="2" l="1"/>
  <c r="C30" i="2"/>
</calcChain>
</file>

<file path=xl/sharedStrings.xml><?xml version="1.0" encoding="utf-8"?>
<sst xmlns="http://schemas.openxmlformats.org/spreadsheetml/2006/main" count="181" uniqueCount="158">
  <si>
    <t>Software Bill of Materials (SBOM) — FDA 510(k) / Premarket Template</t>
  </si>
  <si>
    <t>Aligned with FDA guidance "Cybersecurity in Medical Devices: Quality Management System Considerations and Content of Premarket Submissions" (issued Feb 3, 2026), Section 524B of the FD&amp;C Act, and the NTIA Minimum Elements for an SBOM.</t>
  </si>
  <si>
    <t xml:space="preserve">  IMPORTANT — Format of the Official Submission</t>
  </si>
  <si>
    <t>FDA requires a MACHINE-READABLE SBOM for cyber devices (industry-accepted formats such as CycloneDX or SPDX) in the eSTAR cybersecurity section of a 510(k). This Excel workbook is a human-readable WORKING / MANAGEMENT template and review companion — use it to assemble, track and review your component data, then generate the machine-readable SBOM your build tooling produces. It does not by itself replace the machine-readable file in the submission.</t>
  </si>
  <si>
    <t xml:space="preserve">  What's in this workbook</t>
  </si>
  <si>
    <t>SBOM Metadata</t>
  </si>
  <si>
    <t>Document-level information about the device, the submission, and the SBOM itself — including the two NTIA document-level elements: Author of SBOM Data and Timestamp. Auto-counts components and flags.</t>
  </si>
  <si>
    <t>SBOM Components</t>
  </si>
  <si>
    <t>The core component inventory. One row per software component, with the NTIA minimum elements, the FDA additional lifecycle elements (support level + end-of-support date), classification, and security data.</t>
  </si>
  <si>
    <t>Vulnerabilities &amp; VEX</t>
  </si>
  <si>
    <t>Per-component known vulnerabilities with CVSS, VEX status (Not Affected / Affected / Fixed / Under Investigation), VEX justification, clinical/safety impact, and remediation. FDA expects all known vulnerabilities to be identified, and VEX-style status reporting is expected for submissions.</t>
  </si>
  <si>
    <t>Lifecycle &amp; Support Plan</t>
  </si>
  <si>
    <t>Obsolescence / end-of-support planning for components approaching or past EOS/EOL — risk, mitigation, compensating controls, owner and action dates. Supports the long (10–15 yr) device lifecycle FDA expects you to plan for.</t>
  </si>
  <si>
    <t xml:space="preserve">  Required SBOM fields — and where each lives</t>
  </si>
  <si>
    <t>Requirement</t>
  </si>
  <si>
    <t>Source / Location in this workbook</t>
  </si>
  <si>
    <t>Supplier Name</t>
  </si>
  <si>
    <t>NTIA min element — SBOM Components, col. 'Supplier / Author Name'</t>
  </si>
  <si>
    <t>Component Name</t>
  </si>
  <si>
    <t>NTIA min element — SBOM Components, col. 'Component Name'</t>
  </si>
  <si>
    <t>Version of the Component</t>
  </si>
  <si>
    <t>NTIA min element — SBOM Components, col. 'Version'</t>
  </si>
  <si>
    <t>Other Unique Identifiers</t>
  </si>
  <si>
    <t>NTIA min element — SBOM Components, cols. 'Unique ID Type' + 'Unique ID Value' (CPE / PURL / SWID)</t>
  </si>
  <si>
    <t>Dependency Relationship</t>
  </si>
  <si>
    <t>NTIA min element — SBOM Components, col. 'Dependency Relationship'</t>
  </si>
  <si>
    <t>Author of SBOM Data</t>
  </si>
  <si>
    <t>NTIA min element — SBOM Metadata (document-level)</t>
  </si>
  <si>
    <t>Timestamp</t>
  </si>
  <si>
    <t>Level of support (actively maintained / no longer maintained / abandoned)</t>
  </si>
  <si>
    <t>FDA additional element (Sec. VII.C.3) — SBOM Components, col. 'Level of Support'</t>
  </si>
  <si>
    <t>Software component's end-of-support (EOS) date</t>
  </si>
  <si>
    <t>FDA additional element (Sec. VII.C.3) — SBOM Components, col. 'End-of-Support (EOS) Date'</t>
  </si>
  <si>
    <t>End-of-life (EOL) date</t>
  </si>
  <si>
    <t>SBOM Components, col. 'End-of-Life (EOL) Date' (component retirement; tracked alongside EOS)</t>
  </si>
  <si>
    <t>All known vulnerabilities</t>
  </si>
  <si>
    <t>FDA premarket expectation — Vulnerabilities &amp; VEX tab</t>
  </si>
  <si>
    <t xml:space="preserve">  How to use</t>
  </si>
  <si>
    <t>1. Fill the SBOM Metadata tab first (device, submission, SBOM author and timestamp).</t>
  </si>
  <si>
    <t>2. Enter one row per component on the SBOM Components tab. Rows shaded amber are EXAMPLES — overwrite or delete them.</t>
  </si>
  <si>
    <t>3. Use the drop-downs (Unique ID Type, Component Type, Origin, Level of Support, VEX Status, etc.) for consistent values.</t>
  </si>
  <si>
    <t>4. Enter EOS/EOL as real dates (YYYY-MM-DD). The 'Days to EOS' and 'Lifecycle Flag' columns calculate automatically and turn red when a component is past support or amber within 12 months.</t>
  </si>
  <si>
    <t>5. Log every known vulnerability on the Vulnerabilities &amp; VEX tab; set a VEX status (and justification if 'Not Affected').</t>
  </si>
  <si>
    <t>6. For any component near/past EOS, complete a row on the Lifecycle &amp; Support Plan tab.</t>
  </si>
  <si>
    <t>7. Need more rows than pre-filled? Copy the last data row down — the formulas and formatting carry over.</t>
  </si>
  <si>
    <t>Disclaimer: This template is a working aid, not regulatory or legal advice. FDA guidance is non-binding and evolves — verify the current guidance and eSTAR requirements and consult your regulatory affairs function before submission.</t>
  </si>
  <si>
    <t xml:space="preserve">  Device &amp; Submission</t>
  </si>
  <si>
    <t>Device Name</t>
  </si>
  <si>
    <t>Device Model / Catalog Number</t>
  </si>
  <si>
    <t>Manufacturer / Sponsor</t>
  </si>
  <si>
    <t>Submission Type</t>
  </si>
  <si>
    <t>510(k) / De Novo / PMA / HDE / IDE</t>
  </si>
  <si>
    <t>Submission (e.g., 510(k)) Number</t>
  </si>
  <si>
    <t>If assigned</t>
  </si>
  <si>
    <t>Product Code / Regulation No.</t>
  </si>
  <si>
    <t>Device Software Version</t>
  </si>
  <si>
    <t>Top-Level / Primary Component</t>
  </si>
  <si>
    <t>Name of the device software this SBOM describes</t>
  </si>
  <si>
    <t xml:space="preserve">  SBOM Document (NTIA document-level elements)</t>
  </si>
  <si>
    <t>Author of SBOM Data  [NTIA]</t>
  </si>
  <si>
    <t>Person/tool that created this SBOM</t>
  </si>
  <si>
    <t>SBOM Timestamp  [NTIA]</t>
  </si>
  <si>
    <t>Date/time SBOM generated (YYYY-MM-DD HH:MM)</t>
  </si>
  <si>
    <t>SBOM Version</t>
  </si>
  <si>
    <t>SBOM Format(s) for Submission</t>
  </si>
  <si>
    <t>CycloneDX / SPDX (machine-readable) + this workbook</t>
  </si>
  <si>
    <t>SBOM Generation Tool &amp; Version</t>
  </si>
  <si>
    <t>e.g., Syft, CycloneDX, SPDX tool</t>
  </si>
  <si>
    <t>Primary Data Source</t>
  </si>
  <si>
    <t>Build pipeline / manual review / other</t>
  </si>
  <si>
    <t xml:space="preserve">  Sign-off</t>
  </si>
  <si>
    <t>Prepared By</t>
  </si>
  <si>
    <t>Date Prepared</t>
  </si>
  <si>
    <t>Reviewed / Approved By</t>
  </si>
  <si>
    <t>Date Approved</t>
  </si>
  <si>
    <t xml:space="preserve">  Auto Summary (calculated from other tabs)</t>
  </si>
  <si>
    <t>Total components listed</t>
  </si>
  <si>
    <t>Components PAST end-of-support</t>
  </si>
  <si>
    <t>Components with EOS within 12 months</t>
  </si>
  <si>
    <t>Components no longer maintained / abandoned</t>
  </si>
  <si>
    <t>Total vulnerabilities logged</t>
  </si>
  <si>
    <t>Open Critical / High vulnerabilities</t>
  </si>
  <si>
    <t>#</t>
  </si>
  <si>
    <t>NTIA Minimum Elements (baseline component data)</t>
  </si>
  <si>
    <t>Component Classification</t>
  </si>
  <si>
    <t>FDA Additional Elements — Sec. VII.C.3 / Lifecycle</t>
  </si>
  <si>
    <t>Lifecycle Status (auto)</t>
  </si>
  <si>
    <t>Security &amp; Vulnerabilities</t>
  </si>
  <si>
    <t>Notes / Justification</t>
  </si>
  <si>
    <t>Version</t>
  </si>
  <si>
    <t>Supplier / Author Name</t>
  </si>
  <si>
    <t>Unique ID Type</t>
  </si>
  <si>
    <t>Unique ID Value</t>
  </si>
  <si>
    <t>Component Type</t>
  </si>
  <si>
    <t>Origin / Category</t>
  </si>
  <si>
    <t>License</t>
  </si>
  <si>
    <t>Level of Support</t>
  </si>
  <si>
    <t>End-of-Support (EOS) Date</t>
  </si>
  <si>
    <t>End-of-Life (EOL) Date</t>
  </si>
  <si>
    <t>Days to EOS</t>
  </si>
  <si>
    <t>Lifecycle Flag</t>
  </si>
  <si>
    <t>Known Vulnerabilities (CVE/IDs)</t>
  </si>
  <si>
    <t>Patch / Update Mechanism</t>
  </si>
  <si>
    <t>Cryptographic Info (optional)</t>
  </si>
  <si>
    <t>EX</t>
  </si>
  <si>
    <t>OpenSSL</t>
  </si>
  <si>
    <t>3.0.13</t>
  </si>
  <si>
    <t>OpenSSL Software Foundation</t>
  </si>
  <si>
    <t>PURL</t>
  </si>
  <si>
    <t>pkg:generic/openssl@3.0.13</t>
  </si>
  <si>
    <t>Required by: Secure Comm module (static link)</t>
  </si>
  <si>
    <t>Library</t>
  </si>
  <si>
    <t>Open-Source (OSS)</t>
  </si>
  <si>
    <t>Apache-2.0</t>
  </si>
  <si>
    <t>Actively maintained</t>
  </si>
  <si>
    <t>2026-09-07</t>
  </si>
  <si>
    <t>See Vulnerabilities &amp; VEX tab</t>
  </si>
  <si>
    <t>Vendor-signed OTA update</t>
  </si>
  <si>
    <t>TLS 1.3, AES-256, RSA-2048</t>
  </si>
  <si>
    <t>EXAMPLE — replace with your data</t>
  </si>
  <si>
    <t>Known Vulnerabilities &amp; VEX (Vulnerability Exploitability eXchange)</t>
  </si>
  <si>
    <t>Component Version</t>
  </si>
  <si>
    <t>Vulnerability ID (CVE/GHSA)</t>
  </si>
  <si>
    <t>CVSS Version</t>
  </si>
  <si>
    <t>CVSS Base Score</t>
  </si>
  <si>
    <t>Severity</t>
  </si>
  <si>
    <t>VEX Status</t>
  </si>
  <si>
    <t>VEX Justification (if Not Affected)</t>
  </si>
  <si>
    <t>Patient Safety / Clinical Impact</t>
  </si>
  <si>
    <t>Remediation / Mitigation</t>
  </si>
  <si>
    <t>Target / Resolution Date</t>
  </si>
  <si>
    <t>Status</t>
  </si>
  <si>
    <t>Notes</t>
  </si>
  <si>
    <t>CVE-2024-XXXXX</t>
  </si>
  <si>
    <t>3.1</t>
  </si>
  <si>
    <t>7.5</t>
  </si>
  <si>
    <t>High</t>
  </si>
  <si>
    <t>Under Investigation</t>
  </si>
  <si>
    <t>Potential disruption of secure communications between device and server</t>
  </si>
  <si>
    <t>Assess applicability; deploy vendor patch in next OTA release</t>
  </si>
  <si>
    <t>2026-08-15</t>
  </si>
  <si>
    <t>In Progress</t>
  </si>
  <si>
    <t>End-of-Support / End-of-Life Planning (for components near or past EOS)</t>
  </si>
  <si>
    <t>Supplier</t>
  </si>
  <si>
    <t>Support Level</t>
  </si>
  <si>
    <t>EOS Date</t>
  </si>
  <si>
    <t>EOL Date</t>
  </si>
  <si>
    <t>Risk if Unsupported</t>
  </si>
  <si>
    <t>Mitigation / Replacement Plan</t>
  </si>
  <si>
    <t>Compensating Controls</t>
  </si>
  <si>
    <t>Owner / Responsible</t>
  </si>
  <si>
    <t>Target Action Date</t>
  </si>
  <si>
    <t>Medium</t>
  </si>
  <si>
    <t>Upgrade to next OpenSSL LTS before EOS; validate in V&amp;V</t>
  </si>
  <si>
    <t>Network segmentation; certificate pinning</t>
  </si>
  <si>
    <t>Eng Lead</t>
  </si>
  <si>
    <t>2026-07-01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</si>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</sst>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13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8080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i/>
      <sz val="9"/>
      <color rgb="FF808080"/>
      <name val="Arial"/>
      <charset val="1"/>
    </font>
    <font>
      <b/>
      <sz val="15"/>
      <color rgb="FF1F3864"/>
      <name val="Arial"/>
      <charset val="1"/>
    </font>
    <font>
      <sz val="10"/>
      <color rgb="FF000000"/>
      <name val="Arial"/>
      <charset val="1"/>
    </font>
    <font>
      <i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2CC"/>
        <bgColor rgb="FFFFEB9C"/>
      </patternFill>
    </fill>
    <fill>
      <patternFill patternType="solid">
        <fgColor rgb="FFD9E1F2"/>
        <bgColor rgb="FFC6EFCE"/>
      </patternFill>
    </fill>
    <fill>
      <patternFill patternType="solid">
        <fgColor rgb="FFFFFFFF"/>
        <bgColor rgb="FFFFF2CC"/>
      </patternFill>
    </fill>
    <fill>
      <patternFill patternType="solid">
        <fgColor rgb="FF1F3864"/>
        <bgColor rgb="FF33333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center" wrapText="1" indent="1"/>
    </xf>
    <xf numFmtId="0" fontId="11" fillId="5" borderId="1" xfId="0" applyFont="1" applyFill="1" applyBorder="1" applyAlignment="1">
      <alignment vertical="center" wrapText="1" indent="1"/>
    </xf>
    <xf numFmtId="0" fontId="2" fillId="0" borderId="1" xfId="0" applyFont="1" applyBorder="1" applyAlignment="1">
      <alignment vertical="center" wrapText="1" indent="1"/>
    </xf>
    <xf numFmtId="164" fontId="2" fillId="0" borderId="1" xfId="0" applyNumberFormat="1" applyFont="1" applyBorder="1" applyAlignment="1">
      <alignment vertical="center" wrapText="1" indent="1"/>
    </xf>
    <xf numFmtId="165" fontId="11" fillId="5" borderId="1" xfId="0" applyNumberFormat="1" applyFont="1" applyFill="1" applyBorder="1" applyAlignment="1">
      <alignment vertical="center" wrapText="1" indent="1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165" fontId="4" fillId="0" borderId="1" xfId="0" applyNumberFormat="1" applyFont="1" applyBorder="1" applyAlignment="1">
      <alignment horizontal="center" vertical="top"/>
    </xf>
    <xf numFmtId="0" fontId="3" fillId="6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 indent="1"/>
    </xf>
    <xf numFmtId="0" fontId="9" fillId="0" borderId="0" xfId="0" applyFont="1" applyAlignment="1">
      <alignment vertical="top" wrapText="1"/>
    </xf>
    <xf numFmtId="0" fontId="3" fillId="2" borderId="0" xfId="0" applyFont="1" applyFill="1" applyAlignment="1">
      <alignment vertical="center" inden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10" fillId="0" borderId="0" xfId="0" applyFont="1"/>
    <xf numFmtId="0" fontId="3" fillId="6" borderId="2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top"/>
    </xf>
    <xf numFmtId="0" fontId="12" fillId="0" borderId="1" xfId="0" applyFont="1" applyFill="1" applyBorder="1" applyAlignment="1">
      <alignment vertical="top" wrapText="1"/>
    </xf>
    <xf numFmtId="165" fontId="12" fillId="0" borderId="1" xfId="0" applyNumberFormat="1" applyFont="1" applyFill="1" applyBorder="1" applyAlignment="1">
      <alignment horizontal="center" vertical="top"/>
    </xf>
    <xf numFmtId="1" fontId="4" fillId="0" borderId="1" xfId="0" applyNumberFormat="1" applyFont="1" applyFill="1" applyBorder="1" applyAlignment="1">
      <alignment horizontal="center" vertical="top"/>
    </xf>
    <xf numFmtId="165" fontId="12" fillId="0" borderId="1" xfId="0" applyNumberFormat="1" applyFont="1" applyFill="1" applyBorder="1" applyAlignment="1">
      <alignment vertical="top" wrapText="1"/>
    </xf>
    <xf numFmtId="0" fontId="0" fillId="0" borderId="0" xfId="0" applyFill="1"/>
    <xf numFmtId="0" fontId="4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21">
    <dxf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7"/>
  <sheetViews>
    <sheetView showGridLines="0" tabSelected="1" topLeftCell="A6" zoomScaleNormal="100" workbookViewId="0"/>
  </sheetViews>
  <sheetFormatPr defaultColWidth="8.5703125" defaultRowHeight="15" x14ac:dyDescent="0.25"/>
  <cols>
    <col min="1" max="1" width="3" customWidth="1"/>
    <col min="2" max="2" width="30" customWidth="1"/>
    <col min="3" max="3" width="95" customWidth="1"/>
  </cols>
  <sheetData>
    <row r="2" spans="2:3" ht="20.25" x14ac:dyDescent="0.25">
      <c r="B2" s="22" t="s">
        <v>0</v>
      </c>
      <c r="C2" s="22"/>
    </row>
    <row r="3" spans="2:3" ht="42" customHeight="1" x14ac:dyDescent="0.25">
      <c r="B3" s="23" t="s">
        <v>1</v>
      </c>
      <c r="C3" s="23"/>
    </row>
    <row r="5" spans="2:3" ht="21.75" customHeight="1" x14ac:dyDescent="0.25">
      <c r="B5" s="21" t="s">
        <v>2</v>
      </c>
      <c r="C5" s="21"/>
    </row>
    <row r="6" spans="2:3" ht="69.75" customHeight="1" x14ac:dyDescent="0.25">
      <c r="B6" s="24" t="s">
        <v>3</v>
      </c>
      <c r="C6" s="24"/>
    </row>
    <row r="8" spans="2:3" ht="21.75" customHeight="1" x14ac:dyDescent="0.25">
      <c r="B8" s="21" t="s">
        <v>4</v>
      </c>
      <c r="C8" s="21"/>
    </row>
    <row r="9" spans="2:3" ht="42" customHeight="1" x14ac:dyDescent="0.25">
      <c r="B9" s="1" t="s">
        <v>5</v>
      </c>
      <c r="C9" s="2" t="s">
        <v>6</v>
      </c>
    </row>
    <row r="10" spans="2:3" ht="42" customHeight="1" x14ac:dyDescent="0.25">
      <c r="B10" s="1" t="s">
        <v>7</v>
      </c>
      <c r="C10" s="2" t="s">
        <v>8</v>
      </c>
    </row>
    <row r="11" spans="2:3" ht="54" customHeight="1" x14ac:dyDescent="0.25">
      <c r="B11" s="1" t="s">
        <v>9</v>
      </c>
      <c r="C11" s="2" t="s">
        <v>10</v>
      </c>
    </row>
    <row r="12" spans="2:3" ht="54" customHeight="1" x14ac:dyDescent="0.25">
      <c r="B12" s="1" t="s">
        <v>11</v>
      </c>
      <c r="C12" s="2" t="s">
        <v>12</v>
      </c>
    </row>
    <row r="14" spans="2:3" ht="21.75" customHeight="1" x14ac:dyDescent="0.25">
      <c r="B14" s="21" t="s">
        <v>13</v>
      </c>
      <c r="C14" s="21"/>
    </row>
    <row r="15" spans="2:3" x14ac:dyDescent="0.25">
      <c r="B15" s="3" t="s">
        <v>14</v>
      </c>
      <c r="C15" s="3" t="s">
        <v>15</v>
      </c>
    </row>
    <row r="16" spans="2:3" ht="30" customHeight="1" x14ac:dyDescent="0.25">
      <c r="B16" s="4" t="s">
        <v>16</v>
      </c>
      <c r="C16" s="5" t="s">
        <v>17</v>
      </c>
    </row>
    <row r="17" spans="2:3" ht="30" customHeight="1" x14ac:dyDescent="0.25">
      <c r="B17" s="4" t="s">
        <v>18</v>
      </c>
      <c r="C17" s="5" t="s">
        <v>19</v>
      </c>
    </row>
    <row r="18" spans="2:3" ht="30" customHeight="1" x14ac:dyDescent="0.25">
      <c r="B18" s="4" t="s">
        <v>20</v>
      </c>
      <c r="C18" s="5" t="s">
        <v>21</v>
      </c>
    </row>
    <row r="19" spans="2:3" ht="30" customHeight="1" x14ac:dyDescent="0.25">
      <c r="B19" s="4" t="s">
        <v>22</v>
      </c>
      <c r="C19" s="5" t="s">
        <v>23</v>
      </c>
    </row>
    <row r="20" spans="2:3" ht="30" customHeight="1" x14ac:dyDescent="0.25">
      <c r="B20" s="4" t="s">
        <v>24</v>
      </c>
      <c r="C20" s="5" t="s">
        <v>25</v>
      </c>
    </row>
    <row r="21" spans="2:3" ht="30" customHeight="1" x14ac:dyDescent="0.25">
      <c r="B21" s="4" t="s">
        <v>26</v>
      </c>
      <c r="C21" s="5" t="s">
        <v>27</v>
      </c>
    </row>
    <row r="22" spans="2:3" ht="30" customHeight="1" x14ac:dyDescent="0.25">
      <c r="B22" s="4" t="s">
        <v>28</v>
      </c>
      <c r="C22" s="5" t="s">
        <v>27</v>
      </c>
    </row>
    <row r="23" spans="2:3" ht="30" customHeight="1" x14ac:dyDescent="0.25">
      <c r="B23" s="4" t="s">
        <v>29</v>
      </c>
      <c r="C23" s="5" t="s">
        <v>30</v>
      </c>
    </row>
    <row r="24" spans="2:3" ht="30" customHeight="1" x14ac:dyDescent="0.25">
      <c r="B24" s="4" t="s">
        <v>31</v>
      </c>
      <c r="C24" s="5" t="s">
        <v>32</v>
      </c>
    </row>
    <row r="25" spans="2:3" ht="30" customHeight="1" x14ac:dyDescent="0.25">
      <c r="B25" s="4" t="s">
        <v>33</v>
      </c>
      <c r="C25" s="5" t="s">
        <v>34</v>
      </c>
    </row>
    <row r="26" spans="2:3" ht="30" customHeight="1" x14ac:dyDescent="0.25">
      <c r="B26" s="4" t="s">
        <v>35</v>
      </c>
      <c r="C26" s="5" t="s">
        <v>36</v>
      </c>
    </row>
    <row r="28" spans="2:3" ht="21.75" customHeight="1" x14ac:dyDescent="0.25">
      <c r="B28" s="21" t="s">
        <v>37</v>
      </c>
      <c r="C28" s="21"/>
    </row>
    <row r="29" spans="2:3" ht="30" customHeight="1" x14ac:dyDescent="0.25">
      <c r="B29" s="19" t="s">
        <v>38</v>
      </c>
      <c r="C29" s="19"/>
    </row>
    <row r="30" spans="2:3" ht="30" customHeight="1" x14ac:dyDescent="0.25">
      <c r="B30" s="19" t="s">
        <v>39</v>
      </c>
      <c r="C30" s="19"/>
    </row>
    <row r="31" spans="2:3" ht="30" customHeight="1" x14ac:dyDescent="0.25">
      <c r="B31" s="19" t="s">
        <v>40</v>
      </c>
      <c r="C31" s="19"/>
    </row>
    <row r="32" spans="2:3" ht="30" customHeight="1" x14ac:dyDescent="0.25">
      <c r="B32" s="19" t="s">
        <v>41</v>
      </c>
      <c r="C32" s="19"/>
    </row>
    <row r="33" spans="2:3" ht="30" customHeight="1" x14ac:dyDescent="0.25">
      <c r="B33" s="19" t="s">
        <v>42</v>
      </c>
      <c r="C33" s="19"/>
    </row>
    <row r="34" spans="2:3" ht="30" customHeight="1" x14ac:dyDescent="0.25">
      <c r="B34" s="19" t="s">
        <v>43</v>
      </c>
      <c r="C34" s="19"/>
    </row>
    <row r="35" spans="2:3" ht="30" customHeight="1" x14ac:dyDescent="0.25">
      <c r="B35" s="19" t="s">
        <v>44</v>
      </c>
      <c r="C35" s="19"/>
    </row>
    <row r="37" spans="2:3" ht="39.75" customHeight="1" x14ac:dyDescent="0.25">
      <c r="B37" s="20" t="s">
        <v>45</v>
      </c>
      <c r="C37" s="20"/>
    </row>
  </sheetData>
  <mergeCells count="15">
    <mergeCell ref="B2:C2"/>
    <mergeCell ref="B3:C3"/>
    <mergeCell ref="B5:C5"/>
    <mergeCell ref="B6:C6"/>
    <mergeCell ref="B8:C8"/>
    <mergeCell ref="B14:C14"/>
    <mergeCell ref="B28:C28"/>
    <mergeCell ref="B29:C29"/>
    <mergeCell ref="B30:C30"/>
    <mergeCell ref="B31:C31"/>
    <mergeCell ref="B32:C32"/>
    <mergeCell ref="B33:C33"/>
    <mergeCell ref="B34:C34"/>
    <mergeCell ref="B35:C35"/>
    <mergeCell ref="B37:C37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4"/>
  <sheetViews>
    <sheetView showGridLines="0" zoomScaleNormal="100" workbookViewId="0"/>
  </sheetViews>
  <sheetFormatPr defaultColWidth="8.5703125" defaultRowHeight="15" x14ac:dyDescent="0.25"/>
  <cols>
    <col min="1" max="1" width="3" customWidth="1"/>
    <col min="2" max="2" width="40" customWidth="1"/>
    <col min="3" max="3" width="60" customWidth="1"/>
  </cols>
  <sheetData>
    <row r="2" spans="2:3" ht="19.5" x14ac:dyDescent="0.3">
      <c r="B2" s="25" t="s">
        <v>5</v>
      </c>
      <c r="C2" s="25"/>
    </row>
    <row r="4" spans="2:3" ht="19.5" customHeight="1" x14ac:dyDescent="0.25">
      <c r="B4" s="21" t="s">
        <v>46</v>
      </c>
      <c r="C4" s="21"/>
    </row>
    <row r="5" spans="2:3" x14ac:dyDescent="0.25">
      <c r="B5" s="6" t="s">
        <v>47</v>
      </c>
      <c r="C5" s="7"/>
    </row>
    <row r="6" spans="2:3" x14ac:dyDescent="0.25">
      <c r="B6" s="6" t="s">
        <v>48</v>
      </c>
      <c r="C6" s="7"/>
    </row>
    <row r="7" spans="2:3" x14ac:dyDescent="0.25">
      <c r="B7" s="6" t="s">
        <v>49</v>
      </c>
      <c r="C7" s="7"/>
    </row>
    <row r="8" spans="2:3" x14ac:dyDescent="0.25">
      <c r="B8" s="6" t="s">
        <v>50</v>
      </c>
      <c r="C8" s="8" t="s">
        <v>51</v>
      </c>
    </row>
    <row r="9" spans="2:3" x14ac:dyDescent="0.25">
      <c r="B9" s="6" t="s">
        <v>52</v>
      </c>
      <c r="C9" s="8" t="s">
        <v>53</v>
      </c>
    </row>
    <row r="10" spans="2:3" x14ac:dyDescent="0.25">
      <c r="B10" s="6" t="s">
        <v>54</v>
      </c>
      <c r="C10" s="7"/>
    </row>
    <row r="11" spans="2:3" x14ac:dyDescent="0.25">
      <c r="B11" s="6" t="s">
        <v>55</v>
      </c>
      <c r="C11" s="7"/>
    </row>
    <row r="12" spans="2:3" x14ac:dyDescent="0.25">
      <c r="B12" s="6" t="s">
        <v>56</v>
      </c>
      <c r="C12" s="8" t="s">
        <v>57</v>
      </c>
    </row>
    <row r="14" spans="2:3" ht="19.5" customHeight="1" x14ac:dyDescent="0.25">
      <c r="B14" s="21" t="s">
        <v>58</v>
      </c>
      <c r="C14" s="21"/>
    </row>
    <row r="15" spans="2:3" x14ac:dyDescent="0.25">
      <c r="B15" s="6" t="s">
        <v>59</v>
      </c>
      <c r="C15" s="8" t="s">
        <v>60</v>
      </c>
    </row>
    <row r="16" spans="2:3" x14ac:dyDescent="0.25">
      <c r="B16" s="6" t="s">
        <v>61</v>
      </c>
      <c r="C16" s="9" t="s">
        <v>62</v>
      </c>
    </row>
    <row r="17" spans="2:3" x14ac:dyDescent="0.25">
      <c r="B17" s="6" t="s">
        <v>63</v>
      </c>
      <c r="C17" s="7"/>
    </row>
    <row r="18" spans="2:3" x14ac:dyDescent="0.25">
      <c r="B18" s="6" t="s">
        <v>64</v>
      </c>
      <c r="C18" s="8" t="s">
        <v>65</v>
      </c>
    </row>
    <row r="19" spans="2:3" x14ac:dyDescent="0.25">
      <c r="B19" s="6" t="s">
        <v>66</v>
      </c>
      <c r="C19" s="8" t="s">
        <v>67</v>
      </c>
    </row>
    <row r="20" spans="2:3" x14ac:dyDescent="0.25">
      <c r="B20" s="6" t="s">
        <v>68</v>
      </c>
      <c r="C20" s="8" t="s">
        <v>69</v>
      </c>
    </row>
    <row r="22" spans="2:3" ht="19.5" customHeight="1" x14ac:dyDescent="0.25">
      <c r="B22" s="21" t="s">
        <v>70</v>
      </c>
      <c r="C22" s="21"/>
    </row>
    <row r="23" spans="2:3" x14ac:dyDescent="0.25">
      <c r="B23" s="6" t="s">
        <v>71</v>
      </c>
      <c r="C23" s="7"/>
    </row>
    <row r="24" spans="2:3" x14ac:dyDescent="0.25">
      <c r="B24" s="6" t="s">
        <v>72</v>
      </c>
      <c r="C24" s="10"/>
    </row>
    <row r="25" spans="2:3" x14ac:dyDescent="0.25">
      <c r="B25" s="6" t="s">
        <v>73</v>
      </c>
      <c r="C25" s="7"/>
    </row>
    <row r="26" spans="2:3" x14ac:dyDescent="0.25">
      <c r="B26" s="6" t="s">
        <v>74</v>
      </c>
      <c r="C26" s="10"/>
    </row>
    <row r="28" spans="2:3" ht="19.5" customHeight="1" x14ac:dyDescent="0.25">
      <c r="B28" s="21" t="s">
        <v>75</v>
      </c>
      <c r="C28" s="21"/>
    </row>
    <row r="29" spans="2:3" x14ac:dyDescent="0.25">
      <c r="B29" s="6" t="s">
        <v>76</v>
      </c>
      <c r="C29" s="11">
        <f>COUNTA('SBOM Components'!B3:B499)</f>
        <v>1</v>
      </c>
    </row>
    <row r="30" spans="2:3" x14ac:dyDescent="0.25">
      <c r="B30" s="6" t="s">
        <v>77</v>
      </c>
      <c r="C30" s="11">
        <f ca="1">COUNTIF('SBOM Components'!O3:O499,"PAST EOS*")</f>
        <v>0</v>
      </c>
    </row>
    <row r="31" spans="2:3" x14ac:dyDescent="0.25">
      <c r="B31" s="6" t="s">
        <v>78</v>
      </c>
      <c r="C31" s="11">
        <f ca="1">COUNTIF('SBOM Components'!O3:O499,"EOS within*")</f>
        <v>1</v>
      </c>
    </row>
    <row r="32" spans="2:3" ht="25.5" x14ac:dyDescent="0.25">
      <c r="B32" s="6" t="s">
        <v>79</v>
      </c>
      <c r="C32" s="11">
        <f>COUNTIF('SBOM Components'!K3:K499,"No longer maintained")+COUNTIF('SBOM Components'!K3:K499,"Abandoned")</f>
        <v>0</v>
      </c>
    </row>
    <row r="33" spans="2:3" x14ac:dyDescent="0.25">
      <c r="B33" s="6" t="s">
        <v>80</v>
      </c>
      <c r="C33" s="11">
        <f>COUNTA('Vulnerabilities &amp; VEX'!D3:D500)</f>
        <v>1</v>
      </c>
    </row>
    <row r="34" spans="2:3" x14ac:dyDescent="0.25">
      <c r="B34" s="6" t="s">
        <v>81</v>
      </c>
      <c r="C34" s="11">
        <f>COUNTIFS('Vulnerabilities &amp; VEX'!G3:G500,"Critical",'Vulnerabilities &amp; VEX'!M3:M500,"&lt;&gt;Resolved")+COUNTIFS('Vulnerabilities &amp; VEX'!G3:G500,"High",'Vulnerabilities &amp; VEX'!M3:M500,"&lt;&gt;Resolved")</f>
        <v>1</v>
      </c>
    </row>
  </sheetData>
  <mergeCells count="5">
    <mergeCell ref="B2:C2"/>
    <mergeCell ref="B4:C4"/>
    <mergeCell ref="B14:C14"/>
    <mergeCell ref="B22:C22"/>
    <mergeCell ref="B28:C28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1"/>
  <sheetViews>
    <sheetView showGridLines="0" zoomScaleNormal="100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A3" sqref="A3:XFD3"/>
    </sheetView>
  </sheetViews>
  <sheetFormatPr defaultColWidth="8.5703125" defaultRowHeight="15" x14ac:dyDescent="0.25"/>
  <cols>
    <col min="1" max="1" width="6" customWidth="1"/>
    <col min="2" max="2" width="24" customWidth="1"/>
    <col min="3" max="3" width="14" customWidth="1"/>
    <col min="4" max="4" width="24" customWidth="1"/>
    <col min="5" max="5" width="13" customWidth="1"/>
    <col min="6" max="6" width="30" customWidth="1"/>
    <col min="7" max="7" width="28" customWidth="1"/>
    <col min="8" max="8" width="16" customWidth="1"/>
    <col min="9" max="9" width="18" customWidth="1"/>
    <col min="10" max="10" width="16" customWidth="1"/>
    <col min="11" max="11" width="18" customWidth="1"/>
    <col min="12" max="13" width="15" customWidth="1"/>
    <col min="14" max="14" width="11" customWidth="1"/>
    <col min="15" max="15" width="22" customWidth="1"/>
    <col min="16" max="16" width="26" customWidth="1"/>
    <col min="17" max="18" width="22" customWidth="1"/>
    <col min="19" max="19" width="26" customWidth="1"/>
  </cols>
  <sheetData>
    <row r="1" spans="1:19" ht="30" customHeight="1" x14ac:dyDescent="0.25">
      <c r="A1" s="26" t="s">
        <v>82</v>
      </c>
      <c r="B1" s="18" t="s">
        <v>83</v>
      </c>
      <c r="C1" s="18"/>
      <c r="D1" s="18"/>
      <c r="E1" s="18"/>
      <c r="F1" s="18"/>
      <c r="G1" s="18"/>
      <c r="H1" s="18" t="s">
        <v>84</v>
      </c>
      <c r="I1" s="18"/>
      <c r="J1" s="18"/>
      <c r="K1" s="18" t="s">
        <v>85</v>
      </c>
      <c r="L1" s="18"/>
      <c r="M1" s="18"/>
      <c r="N1" s="18" t="s">
        <v>86</v>
      </c>
      <c r="O1" s="18"/>
      <c r="P1" s="18" t="s">
        <v>87</v>
      </c>
      <c r="Q1" s="18"/>
      <c r="R1" s="18"/>
      <c r="S1" s="26" t="s">
        <v>88</v>
      </c>
    </row>
    <row r="2" spans="1:19" ht="42" customHeight="1" x14ac:dyDescent="0.25">
      <c r="A2" s="26"/>
      <c r="B2" s="3" t="s">
        <v>18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24</v>
      </c>
      <c r="H2" s="3" t="s">
        <v>93</v>
      </c>
      <c r="I2" s="3" t="s">
        <v>94</v>
      </c>
      <c r="J2" s="3" t="s">
        <v>95</v>
      </c>
      <c r="K2" s="3" t="s">
        <v>96</v>
      </c>
      <c r="L2" s="3" t="s">
        <v>97</v>
      </c>
      <c r="M2" s="3" t="s">
        <v>98</v>
      </c>
      <c r="N2" s="3" t="s">
        <v>99</v>
      </c>
      <c r="O2" s="3" t="s">
        <v>100</v>
      </c>
      <c r="P2" s="3" t="s">
        <v>101</v>
      </c>
      <c r="Q2" s="3" t="s">
        <v>102</v>
      </c>
      <c r="R2" s="3" t="s">
        <v>103</v>
      </c>
      <c r="S2" s="26"/>
    </row>
    <row r="3" spans="1:19" s="32" customFormat="1" ht="25.5" x14ac:dyDescent="0.25">
      <c r="A3" s="27" t="s">
        <v>104</v>
      </c>
      <c r="B3" s="28" t="s">
        <v>105</v>
      </c>
      <c r="C3" s="28" t="s">
        <v>106</v>
      </c>
      <c r="D3" s="28" t="s">
        <v>107</v>
      </c>
      <c r="E3" s="28" t="s">
        <v>108</v>
      </c>
      <c r="F3" s="28" t="s">
        <v>109</v>
      </c>
      <c r="G3" s="28" t="s">
        <v>110</v>
      </c>
      <c r="H3" s="28" t="s">
        <v>111</v>
      </c>
      <c r="I3" s="28" t="s">
        <v>112</v>
      </c>
      <c r="J3" s="28" t="s">
        <v>113</v>
      </c>
      <c r="K3" s="28" t="s">
        <v>114</v>
      </c>
      <c r="L3" s="31" t="s">
        <v>115</v>
      </c>
      <c r="M3" s="31" t="s">
        <v>115</v>
      </c>
      <c r="N3" s="30">
        <f t="shared" ref="N3:N33" ca="1" si="0">IF(L3="","",L3-TODAY())</f>
        <v>-1</v>
      </c>
      <c r="O3" s="33" t="str">
        <f t="shared" ref="O3:O33" ca="1" si="1">IF(L3="","",IF(L3&lt;TODAY(),"PAST EOS — UNSUPPORTED",IF(L3-TODAY()&lt;=365,"EOS within 12 months","Supported")))</f>
        <v>EOS within 12 months</v>
      </c>
      <c r="P3" s="28" t="s">
        <v>116</v>
      </c>
      <c r="Q3" s="28" t="s">
        <v>117</v>
      </c>
      <c r="R3" s="28" t="s">
        <v>118</v>
      </c>
      <c r="S3" s="28" t="s">
        <v>119</v>
      </c>
    </row>
    <row r="4" spans="1:19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14"/>
      <c r="N4" s="15" t="str">
        <f t="shared" ca="1" si="0"/>
        <v/>
      </c>
      <c r="O4" s="16" t="str">
        <f t="shared" ca="1" si="1"/>
        <v/>
      </c>
      <c r="P4" s="13"/>
      <c r="Q4" s="13"/>
      <c r="R4" s="13"/>
      <c r="S4" s="13"/>
    </row>
    <row r="5" spans="1:19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4"/>
      <c r="N5" s="15" t="str">
        <f t="shared" ca="1" si="0"/>
        <v/>
      </c>
      <c r="O5" s="16" t="str">
        <f t="shared" ca="1" si="1"/>
        <v/>
      </c>
      <c r="P5" s="13"/>
      <c r="Q5" s="13"/>
      <c r="R5" s="13"/>
      <c r="S5" s="13"/>
    </row>
    <row r="6" spans="1:19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4"/>
      <c r="M6" s="14"/>
      <c r="N6" s="15" t="str">
        <f t="shared" ca="1" si="0"/>
        <v/>
      </c>
      <c r="O6" s="16" t="str">
        <f t="shared" ca="1" si="1"/>
        <v/>
      </c>
      <c r="P6" s="13"/>
      <c r="Q6" s="13"/>
      <c r="R6" s="13"/>
      <c r="S6" s="13"/>
    </row>
    <row r="7" spans="1:19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4"/>
      <c r="M7" s="14"/>
      <c r="N7" s="15" t="str">
        <f t="shared" ca="1" si="0"/>
        <v/>
      </c>
      <c r="O7" s="16" t="str">
        <f t="shared" ca="1" si="1"/>
        <v/>
      </c>
      <c r="P7" s="13"/>
      <c r="Q7" s="13"/>
      <c r="R7" s="13"/>
      <c r="S7" s="13"/>
    </row>
    <row r="8" spans="1:19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4"/>
      <c r="M8" s="14"/>
      <c r="N8" s="15" t="str">
        <f t="shared" ca="1" si="0"/>
        <v/>
      </c>
      <c r="O8" s="16" t="str">
        <f t="shared" ca="1" si="1"/>
        <v/>
      </c>
      <c r="P8" s="13"/>
      <c r="Q8" s="13"/>
      <c r="R8" s="13"/>
      <c r="S8" s="13"/>
    </row>
    <row r="9" spans="1:19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4"/>
      <c r="N9" s="15" t="str">
        <f t="shared" ca="1" si="0"/>
        <v/>
      </c>
      <c r="O9" s="16" t="str">
        <f t="shared" ca="1" si="1"/>
        <v/>
      </c>
      <c r="P9" s="13"/>
      <c r="Q9" s="13"/>
      <c r="R9" s="13"/>
      <c r="S9" s="13"/>
    </row>
    <row r="10" spans="1:19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14"/>
      <c r="N10" s="15" t="str">
        <f t="shared" ca="1" si="0"/>
        <v/>
      </c>
      <c r="O10" s="16" t="str">
        <f t="shared" ca="1" si="1"/>
        <v/>
      </c>
      <c r="P10" s="13"/>
      <c r="Q10" s="13"/>
      <c r="R10" s="13"/>
      <c r="S10" s="13"/>
    </row>
    <row r="11" spans="1:19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4"/>
      <c r="N11" s="15" t="str">
        <f t="shared" ca="1" si="0"/>
        <v/>
      </c>
      <c r="O11" s="16" t="str">
        <f t="shared" ca="1" si="1"/>
        <v/>
      </c>
      <c r="P11" s="13"/>
      <c r="Q11" s="13"/>
      <c r="R11" s="13"/>
      <c r="S11" s="13"/>
    </row>
    <row r="12" spans="1:19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/>
      <c r="M12" s="14"/>
      <c r="N12" s="15" t="str">
        <f t="shared" ca="1" si="0"/>
        <v/>
      </c>
      <c r="O12" s="16" t="str">
        <f t="shared" ca="1" si="1"/>
        <v/>
      </c>
      <c r="P12" s="13"/>
      <c r="Q12" s="13"/>
      <c r="R12" s="13"/>
      <c r="S12" s="13"/>
    </row>
    <row r="13" spans="1:19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4"/>
      <c r="N13" s="15" t="str">
        <f t="shared" ca="1" si="0"/>
        <v/>
      </c>
      <c r="O13" s="16" t="str">
        <f t="shared" ca="1" si="1"/>
        <v/>
      </c>
      <c r="P13" s="13"/>
      <c r="Q13" s="13"/>
      <c r="R13" s="13"/>
      <c r="S13" s="13"/>
    </row>
    <row r="14" spans="1:19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/>
      <c r="M14" s="14"/>
      <c r="N14" s="15" t="str">
        <f t="shared" ca="1" si="0"/>
        <v/>
      </c>
      <c r="O14" s="16" t="str">
        <f t="shared" ca="1" si="1"/>
        <v/>
      </c>
      <c r="P14" s="13"/>
      <c r="Q14" s="13"/>
      <c r="R14" s="13"/>
      <c r="S14" s="13"/>
    </row>
    <row r="15" spans="1:19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4"/>
      <c r="N15" s="15" t="str">
        <f t="shared" ca="1" si="0"/>
        <v/>
      </c>
      <c r="O15" s="16" t="str">
        <f t="shared" ca="1" si="1"/>
        <v/>
      </c>
      <c r="P15" s="13"/>
      <c r="Q15" s="13"/>
      <c r="R15" s="13"/>
      <c r="S15" s="13"/>
    </row>
    <row r="16" spans="1:19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4"/>
      <c r="M16" s="14"/>
      <c r="N16" s="15" t="str">
        <f t="shared" ca="1" si="0"/>
        <v/>
      </c>
      <c r="O16" s="16" t="str">
        <f t="shared" ca="1" si="1"/>
        <v/>
      </c>
      <c r="P16" s="13"/>
      <c r="Q16" s="13"/>
      <c r="R16" s="13"/>
      <c r="S16" s="13"/>
    </row>
    <row r="17" spans="1:19" x14ac:dyDescent="0.2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4"/>
      <c r="N17" s="15" t="str">
        <f t="shared" ca="1" si="0"/>
        <v/>
      </c>
      <c r="O17" s="16" t="str">
        <f t="shared" ca="1" si="1"/>
        <v/>
      </c>
      <c r="P17" s="13"/>
      <c r="Q17" s="13"/>
      <c r="R17" s="13"/>
      <c r="S17" s="13"/>
    </row>
    <row r="18" spans="1:19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/>
      <c r="M18" s="14"/>
      <c r="N18" s="15" t="str">
        <f t="shared" ca="1" si="0"/>
        <v/>
      </c>
      <c r="O18" s="16" t="str">
        <f t="shared" ca="1" si="1"/>
        <v/>
      </c>
      <c r="P18" s="13"/>
      <c r="Q18" s="13"/>
      <c r="R18" s="13"/>
      <c r="S18" s="13"/>
    </row>
    <row r="19" spans="1:19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4"/>
      <c r="N19" s="15" t="str">
        <f t="shared" ca="1" si="0"/>
        <v/>
      </c>
      <c r="O19" s="16" t="str">
        <f t="shared" ca="1" si="1"/>
        <v/>
      </c>
      <c r="P19" s="13"/>
      <c r="Q19" s="13"/>
      <c r="R19" s="13"/>
      <c r="S19" s="13"/>
    </row>
    <row r="20" spans="1:19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4"/>
      <c r="M20" s="14"/>
      <c r="N20" s="15" t="str">
        <f t="shared" ca="1" si="0"/>
        <v/>
      </c>
      <c r="O20" s="16" t="str">
        <f t="shared" ca="1" si="1"/>
        <v/>
      </c>
      <c r="P20" s="13"/>
      <c r="Q20" s="13"/>
      <c r="R20" s="13"/>
      <c r="S20" s="13"/>
    </row>
    <row r="21" spans="1:19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4"/>
      <c r="N21" s="15" t="str">
        <f t="shared" ca="1" si="0"/>
        <v/>
      </c>
      <c r="O21" s="16" t="str">
        <f t="shared" ca="1" si="1"/>
        <v/>
      </c>
      <c r="P21" s="13"/>
      <c r="Q21" s="13"/>
      <c r="R21" s="13"/>
      <c r="S21" s="13"/>
    </row>
    <row r="22" spans="1:19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4"/>
      <c r="M22" s="14"/>
      <c r="N22" s="15" t="str">
        <f t="shared" ca="1" si="0"/>
        <v/>
      </c>
      <c r="O22" s="16" t="str">
        <f t="shared" ca="1" si="1"/>
        <v/>
      </c>
      <c r="P22" s="13"/>
      <c r="Q22" s="13"/>
      <c r="R22" s="13"/>
      <c r="S22" s="13"/>
    </row>
    <row r="23" spans="1:19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4"/>
      <c r="N23" s="15" t="str">
        <f t="shared" ca="1" si="0"/>
        <v/>
      </c>
      <c r="O23" s="16" t="str">
        <f t="shared" ca="1" si="1"/>
        <v/>
      </c>
      <c r="P23" s="13"/>
      <c r="Q23" s="13"/>
      <c r="R23" s="13"/>
      <c r="S23" s="13"/>
    </row>
    <row r="24" spans="1:19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4"/>
      <c r="M24" s="14"/>
      <c r="N24" s="15" t="str">
        <f t="shared" ca="1" si="0"/>
        <v/>
      </c>
      <c r="O24" s="16" t="str">
        <f t="shared" ca="1" si="1"/>
        <v/>
      </c>
      <c r="P24" s="13"/>
      <c r="Q24" s="13"/>
      <c r="R24" s="13"/>
      <c r="S24" s="13"/>
    </row>
    <row r="25" spans="1:19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4"/>
      <c r="N25" s="15" t="str">
        <f t="shared" ca="1" si="0"/>
        <v/>
      </c>
      <c r="O25" s="16" t="str">
        <f t="shared" ca="1" si="1"/>
        <v/>
      </c>
      <c r="P25" s="13"/>
      <c r="Q25" s="13"/>
      <c r="R25" s="13"/>
      <c r="S25" s="13"/>
    </row>
    <row r="26" spans="1:19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4"/>
      <c r="M26" s="14"/>
      <c r="N26" s="15" t="str">
        <f t="shared" ca="1" si="0"/>
        <v/>
      </c>
      <c r="O26" s="16" t="str">
        <f t="shared" ca="1" si="1"/>
        <v/>
      </c>
      <c r="P26" s="13"/>
      <c r="Q26" s="13"/>
      <c r="R26" s="13"/>
      <c r="S26" s="13"/>
    </row>
    <row r="27" spans="1:19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4"/>
      <c r="N27" s="15" t="str">
        <f t="shared" ca="1" si="0"/>
        <v/>
      </c>
      <c r="O27" s="16" t="str">
        <f t="shared" ca="1" si="1"/>
        <v/>
      </c>
      <c r="P27" s="13"/>
      <c r="Q27" s="13"/>
      <c r="R27" s="13"/>
      <c r="S27" s="13"/>
    </row>
    <row r="28" spans="1:19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4"/>
      <c r="M28" s="14"/>
      <c r="N28" s="15" t="str">
        <f t="shared" ca="1" si="0"/>
        <v/>
      </c>
      <c r="O28" s="16" t="str">
        <f t="shared" ca="1" si="1"/>
        <v/>
      </c>
      <c r="P28" s="13"/>
      <c r="Q28" s="13"/>
      <c r="R28" s="13"/>
      <c r="S28" s="13"/>
    </row>
    <row r="29" spans="1:19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4"/>
      <c r="N29" s="15" t="str">
        <f t="shared" ca="1" si="0"/>
        <v/>
      </c>
      <c r="O29" s="16" t="str">
        <f t="shared" ca="1" si="1"/>
        <v/>
      </c>
      <c r="P29" s="13"/>
      <c r="Q29" s="13"/>
      <c r="R29" s="13"/>
      <c r="S29" s="13"/>
    </row>
    <row r="30" spans="1:19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4"/>
      <c r="M30" s="14"/>
      <c r="N30" s="15" t="str">
        <f t="shared" ca="1" si="0"/>
        <v/>
      </c>
      <c r="O30" s="16" t="str">
        <f t="shared" ca="1" si="1"/>
        <v/>
      </c>
      <c r="P30" s="13"/>
      <c r="Q30" s="13"/>
      <c r="R30" s="13"/>
      <c r="S30" s="13"/>
    </row>
    <row r="31" spans="1:19" x14ac:dyDescent="0.25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4"/>
      <c r="M31" s="14"/>
      <c r="N31" s="15" t="str">
        <f t="shared" ca="1" si="0"/>
        <v/>
      </c>
      <c r="O31" s="16" t="str">
        <f t="shared" ca="1" si="1"/>
        <v/>
      </c>
      <c r="P31" s="13"/>
      <c r="Q31" s="13"/>
      <c r="R31" s="13"/>
      <c r="S31" s="13"/>
    </row>
    <row r="32" spans="1:19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4"/>
      <c r="M32" s="14"/>
      <c r="N32" s="15" t="str">
        <f t="shared" ca="1" si="0"/>
        <v/>
      </c>
      <c r="O32" s="16" t="str">
        <f t="shared" ca="1" si="1"/>
        <v/>
      </c>
      <c r="P32" s="13"/>
      <c r="Q32" s="13"/>
      <c r="R32" s="13"/>
      <c r="S32" s="13"/>
    </row>
    <row r="33" spans="1:19" x14ac:dyDescent="0.25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4"/>
      <c r="M33" s="14"/>
      <c r="N33" s="15" t="str">
        <f t="shared" ca="1" si="0"/>
        <v/>
      </c>
      <c r="O33" s="16" t="str">
        <f t="shared" ca="1" si="1"/>
        <v/>
      </c>
      <c r="P33" s="13"/>
      <c r="Q33" s="13"/>
      <c r="R33" s="13"/>
      <c r="S33" s="13"/>
    </row>
    <row r="34" spans="1:19" x14ac:dyDescent="0.25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4"/>
      <c r="M34" s="14"/>
      <c r="N34" s="15" t="str">
        <f t="shared" ref="N34:N65" ca="1" si="2">IF(L34="","",L34-TODAY())</f>
        <v/>
      </c>
      <c r="O34" s="16" t="str">
        <f t="shared" ref="O34:O65" ca="1" si="3">IF(L34="","",IF(L34&lt;TODAY(),"PAST EOS — UNSUPPORTED",IF(L34-TODAY()&lt;=365,"EOS within 12 months","Supported")))</f>
        <v/>
      </c>
      <c r="P34" s="13"/>
      <c r="Q34" s="13"/>
      <c r="R34" s="13"/>
      <c r="S34" s="13"/>
    </row>
    <row r="35" spans="1:19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4"/>
      <c r="M35" s="14"/>
      <c r="N35" s="15" t="str">
        <f t="shared" ca="1" si="2"/>
        <v/>
      </c>
      <c r="O35" s="16" t="str">
        <f t="shared" ca="1" si="3"/>
        <v/>
      </c>
      <c r="P35" s="13"/>
      <c r="Q35" s="13"/>
      <c r="R35" s="13"/>
      <c r="S35" s="13"/>
    </row>
    <row r="36" spans="1:19" x14ac:dyDescent="0.25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4"/>
      <c r="M36" s="14"/>
      <c r="N36" s="15" t="str">
        <f t="shared" ca="1" si="2"/>
        <v/>
      </c>
      <c r="O36" s="16" t="str">
        <f t="shared" ca="1" si="3"/>
        <v/>
      </c>
      <c r="P36" s="13"/>
      <c r="Q36" s="13"/>
      <c r="R36" s="13"/>
      <c r="S36" s="13"/>
    </row>
    <row r="37" spans="1:19" x14ac:dyDescent="0.25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4"/>
      <c r="M37" s="14"/>
      <c r="N37" s="15" t="str">
        <f t="shared" ca="1" si="2"/>
        <v/>
      </c>
      <c r="O37" s="16" t="str">
        <f t="shared" ca="1" si="3"/>
        <v/>
      </c>
      <c r="P37" s="13"/>
      <c r="Q37" s="13"/>
      <c r="R37" s="13"/>
      <c r="S37" s="13"/>
    </row>
    <row r="38" spans="1:19" x14ac:dyDescent="0.2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4"/>
      <c r="M38" s="14"/>
      <c r="N38" s="15" t="str">
        <f t="shared" ca="1" si="2"/>
        <v/>
      </c>
      <c r="O38" s="16" t="str">
        <f t="shared" ca="1" si="3"/>
        <v/>
      </c>
      <c r="P38" s="13"/>
      <c r="Q38" s="13"/>
      <c r="R38" s="13"/>
      <c r="S38" s="13"/>
    </row>
    <row r="39" spans="1:19" x14ac:dyDescent="0.25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4"/>
      <c r="M39" s="14"/>
      <c r="N39" s="15" t="str">
        <f t="shared" ca="1" si="2"/>
        <v/>
      </c>
      <c r="O39" s="16" t="str">
        <f t="shared" ca="1" si="3"/>
        <v/>
      </c>
      <c r="P39" s="13"/>
      <c r="Q39" s="13"/>
      <c r="R39" s="13"/>
      <c r="S39" s="13"/>
    </row>
    <row r="40" spans="1:19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4"/>
      <c r="M40" s="14"/>
      <c r="N40" s="15" t="str">
        <f t="shared" ca="1" si="2"/>
        <v/>
      </c>
      <c r="O40" s="16" t="str">
        <f t="shared" ca="1" si="3"/>
        <v/>
      </c>
      <c r="P40" s="13"/>
      <c r="Q40" s="13"/>
      <c r="R40" s="13"/>
      <c r="S40" s="13"/>
    </row>
    <row r="41" spans="1:19" x14ac:dyDescent="0.2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4"/>
      <c r="M41" s="14"/>
      <c r="N41" s="15" t="str">
        <f t="shared" ca="1" si="2"/>
        <v/>
      </c>
      <c r="O41" s="16" t="str">
        <f t="shared" ca="1" si="3"/>
        <v/>
      </c>
      <c r="P41" s="13"/>
      <c r="Q41" s="13"/>
      <c r="R41" s="13"/>
      <c r="S41" s="13"/>
    </row>
    <row r="42" spans="1:19" x14ac:dyDescent="0.25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4"/>
      <c r="M42" s="14"/>
      <c r="N42" s="15" t="str">
        <f t="shared" ca="1" si="2"/>
        <v/>
      </c>
      <c r="O42" s="16" t="str">
        <f t="shared" ca="1" si="3"/>
        <v/>
      </c>
      <c r="P42" s="13"/>
      <c r="Q42" s="13"/>
      <c r="R42" s="13"/>
      <c r="S42" s="13"/>
    </row>
    <row r="43" spans="1:19" x14ac:dyDescent="0.2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4"/>
      <c r="M43" s="14"/>
      <c r="N43" s="15" t="str">
        <f t="shared" ca="1" si="2"/>
        <v/>
      </c>
      <c r="O43" s="16" t="str">
        <f t="shared" ca="1" si="3"/>
        <v/>
      </c>
      <c r="P43" s="13"/>
      <c r="Q43" s="13"/>
      <c r="R43" s="13"/>
      <c r="S43" s="13"/>
    </row>
    <row r="44" spans="1:19" x14ac:dyDescent="0.2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4"/>
      <c r="M44" s="14"/>
      <c r="N44" s="15" t="str">
        <f t="shared" ca="1" si="2"/>
        <v/>
      </c>
      <c r="O44" s="16" t="str">
        <f t="shared" ca="1" si="3"/>
        <v/>
      </c>
      <c r="P44" s="13"/>
      <c r="Q44" s="13"/>
      <c r="R44" s="13"/>
      <c r="S44" s="13"/>
    </row>
    <row r="45" spans="1:19" x14ac:dyDescent="0.2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4"/>
      <c r="M45" s="14"/>
      <c r="N45" s="15" t="str">
        <f t="shared" ca="1" si="2"/>
        <v/>
      </c>
      <c r="O45" s="16" t="str">
        <f t="shared" ca="1" si="3"/>
        <v/>
      </c>
      <c r="P45" s="13"/>
      <c r="Q45" s="13"/>
      <c r="R45" s="13"/>
      <c r="S45" s="13"/>
    </row>
    <row r="46" spans="1:19" x14ac:dyDescent="0.25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4"/>
      <c r="M46" s="14"/>
      <c r="N46" s="15" t="str">
        <f t="shared" ca="1" si="2"/>
        <v/>
      </c>
      <c r="O46" s="16" t="str">
        <f t="shared" ca="1" si="3"/>
        <v/>
      </c>
      <c r="P46" s="13"/>
      <c r="Q46" s="13"/>
      <c r="R46" s="13"/>
      <c r="S46" s="13"/>
    </row>
    <row r="47" spans="1:19" x14ac:dyDescent="0.25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4"/>
      <c r="M47" s="14"/>
      <c r="N47" s="15" t="str">
        <f t="shared" ca="1" si="2"/>
        <v/>
      </c>
      <c r="O47" s="16" t="str">
        <f t="shared" ca="1" si="3"/>
        <v/>
      </c>
      <c r="P47" s="13"/>
      <c r="Q47" s="13"/>
      <c r="R47" s="13"/>
      <c r="S47" s="13"/>
    </row>
    <row r="48" spans="1:19" x14ac:dyDescent="0.25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4"/>
      <c r="M48" s="14"/>
      <c r="N48" s="15" t="str">
        <f t="shared" ca="1" si="2"/>
        <v/>
      </c>
      <c r="O48" s="16" t="str">
        <f t="shared" ca="1" si="3"/>
        <v/>
      </c>
      <c r="P48" s="13"/>
      <c r="Q48" s="13"/>
      <c r="R48" s="13"/>
      <c r="S48" s="13"/>
    </row>
    <row r="49" spans="1:19" x14ac:dyDescent="0.25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4"/>
      <c r="M49" s="14"/>
      <c r="N49" s="15" t="str">
        <f t="shared" ca="1" si="2"/>
        <v/>
      </c>
      <c r="O49" s="16" t="str">
        <f t="shared" ca="1" si="3"/>
        <v/>
      </c>
      <c r="P49" s="13"/>
      <c r="Q49" s="13"/>
      <c r="R49" s="13"/>
      <c r="S49" s="13"/>
    </row>
    <row r="50" spans="1:19" x14ac:dyDescent="0.25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4"/>
      <c r="M50" s="14"/>
      <c r="N50" s="15" t="str">
        <f t="shared" ca="1" si="2"/>
        <v/>
      </c>
      <c r="O50" s="16" t="str">
        <f t="shared" ca="1" si="3"/>
        <v/>
      </c>
      <c r="P50" s="13"/>
      <c r="Q50" s="13"/>
      <c r="R50" s="13"/>
      <c r="S50" s="13"/>
    </row>
    <row r="51" spans="1:19" x14ac:dyDescent="0.25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4"/>
      <c r="M51" s="14"/>
      <c r="N51" s="15" t="str">
        <f t="shared" ca="1" si="2"/>
        <v/>
      </c>
      <c r="O51" s="16" t="str">
        <f t="shared" ca="1" si="3"/>
        <v/>
      </c>
      <c r="P51" s="13"/>
      <c r="Q51" s="13"/>
      <c r="R51" s="13"/>
      <c r="S51" s="13"/>
    </row>
    <row r="52" spans="1:19" x14ac:dyDescent="0.25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4"/>
      <c r="M52" s="14"/>
      <c r="N52" s="15" t="str">
        <f t="shared" ca="1" si="2"/>
        <v/>
      </c>
      <c r="O52" s="16" t="str">
        <f t="shared" ca="1" si="3"/>
        <v/>
      </c>
      <c r="P52" s="13"/>
      <c r="Q52" s="13"/>
      <c r="R52" s="13"/>
      <c r="S52" s="13"/>
    </row>
    <row r="53" spans="1:19" x14ac:dyDescent="0.25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4"/>
      <c r="M53" s="14"/>
      <c r="N53" s="15" t="str">
        <f t="shared" ca="1" si="2"/>
        <v/>
      </c>
      <c r="O53" s="16" t="str">
        <f t="shared" ca="1" si="3"/>
        <v/>
      </c>
      <c r="P53" s="13"/>
      <c r="Q53" s="13"/>
      <c r="R53" s="13"/>
      <c r="S53" s="13"/>
    </row>
    <row r="54" spans="1:19" x14ac:dyDescent="0.25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4"/>
      <c r="M54" s="14"/>
      <c r="N54" s="15" t="str">
        <f t="shared" ca="1" si="2"/>
        <v/>
      </c>
      <c r="O54" s="16" t="str">
        <f t="shared" ca="1" si="3"/>
        <v/>
      </c>
      <c r="P54" s="13"/>
      <c r="Q54" s="13"/>
      <c r="R54" s="13"/>
      <c r="S54" s="13"/>
    </row>
    <row r="55" spans="1:19" x14ac:dyDescent="0.25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4"/>
      <c r="M55" s="14"/>
      <c r="N55" s="15" t="str">
        <f t="shared" ca="1" si="2"/>
        <v/>
      </c>
      <c r="O55" s="16" t="str">
        <f t="shared" ca="1" si="3"/>
        <v/>
      </c>
      <c r="P55" s="13"/>
      <c r="Q55" s="13"/>
      <c r="R55" s="13"/>
      <c r="S55" s="13"/>
    </row>
    <row r="56" spans="1:19" x14ac:dyDescent="0.25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4"/>
      <c r="M56" s="14"/>
      <c r="N56" s="15" t="str">
        <f t="shared" ca="1" si="2"/>
        <v/>
      </c>
      <c r="O56" s="16" t="str">
        <f t="shared" ca="1" si="3"/>
        <v/>
      </c>
      <c r="P56" s="13"/>
      <c r="Q56" s="13"/>
      <c r="R56" s="13"/>
      <c r="S56" s="13"/>
    </row>
    <row r="57" spans="1:19" x14ac:dyDescent="0.25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4"/>
      <c r="M57" s="14"/>
      <c r="N57" s="15" t="str">
        <f t="shared" ca="1" si="2"/>
        <v/>
      </c>
      <c r="O57" s="16" t="str">
        <f t="shared" ca="1" si="3"/>
        <v/>
      </c>
      <c r="P57" s="13"/>
      <c r="Q57" s="13"/>
      <c r="R57" s="13"/>
      <c r="S57" s="13"/>
    </row>
    <row r="58" spans="1:19" x14ac:dyDescent="0.25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4"/>
      <c r="M58" s="14"/>
      <c r="N58" s="15" t="str">
        <f t="shared" ca="1" si="2"/>
        <v/>
      </c>
      <c r="O58" s="16" t="str">
        <f t="shared" ca="1" si="3"/>
        <v/>
      </c>
      <c r="P58" s="13"/>
      <c r="Q58" s="13"/>
      <c r="R58" s="13"/>
      <c r="S58" s="13"/>
    </row>
    <row r="59" spans="1:19" x14ac:dyDescent="0.25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4"/>
      <c r="M59" s="14"/>
      <c r="N59" s="15" t="str">
        <f t="shared" ca="1" si="2"/>
        <v/>
      </c>
      <c r="O59" s="16" t="str">
        <f t="shared" ca="1" si="3"/>
        <v/>
      </c>
      <c r="P59" s="13"/>
      <c r="Q59" s="13"/>
      <c r="R59" s="13"/>
      <c r="S59" s="13"/>
    </row>
    <row r="60" spans="1:19" x14ac:dyDescent="0.25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4"/>
      <c r="M60" s="14"/>
      <c r="N60" s="15" t="str">
        <f t="shared" ca="1" si="2"/>
        <v/>
      </c>
      <c r="O60" s="16" t="str">
        <f t="shared" ca="1" si="3"/>
        <v/>
      </c>
      <c r="P60" s="13"/>
      <c r="Q60" s="13"/>
      <c r="R60" s="13"/>
      <c r="S60" s="13"/>
    </row>
    <row r="61" spans="1:19" x14ac:dyDescent="0.25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4"/>
      <c r="M61" s="14"/>
      <c r="N61" s="15" t="str">
        <f t="shared" ca="1" si="2"/>
        <v/>
      </c>
      <c r="O61" s="16" t="str">
        <f t="shared" ca="1" si="3"/>
        <v/>
      </c>
      <c r="P61" s="13"/>
      <c r="Q61" s="13"/>
      <c r="R61" s="13"/>
      <c r="S61" s="13"/>
    </row>
    <row r="62" spans="1:19" x14ac:dyDescent="0.25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4"/>
      <c r="M62" s="14"/>
      <c r="N62" s="15" t="str">
        <f t="shared" ca="1" si="2"/>
        <v/>
      </c>
      <c r="O62" s="16" t="str">
        <f t="shared" ca="1" si="3"/>
        <v/>
      </c>
      <c r="P62" s="13"/>
      <c r="Q62" s="13"/>
      <c r="R62" s="13"/>
      <c r="S62" s="13"/>
    </row>
    <row r="63" spans="1:19" x14ac:dyDescent="0.25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4"/>
      <c r="M63" s="14"/>
      <c r="N63" s="15" t="str">
        <f t="shared" ca="1" si="2"/>
        <v/>
      </c>
      <c r="O63" s="16" t="str">
        <f t="shared" ca="1" si="3"/>
        <v/>
      </c>
      <c r="P63" s="13"/>
      <c r="Q63" s="13"/>
      <c r="R63" s="13"/>
      <c r="S63" s="13"/>
    </row>
    <row r="64" spans="1:19" x14ac:dyDescent="0.25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4"/>
      <c r="M64" s="14"/>
      <c r="N64" s="15" t="str">
        <f t="shared" ca="1" si="2"/>
        <v/>
      </c>
      <c r="O64" s="16" t="str">
        <f t="shared" ca="1" si="3"/>
        <v/>
      </c>
      <c r="P64" s="13"/>
      <c r="Q64" s="13"/>
      <c r="R64" s="13"/>
      <c r="S64" s="13"/>
    </row>
    <row r="65" spans="1:19" x14ac:dyDescent="0.25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4"/>
      <c r="M65" s="14"/>
      <c r="N65" s="15" t="str">
        <f t="shared" ca="1" si="2"/>
        <v/>
      </c>
      <c r="O65" s="16" t="str">
        <f t="shared" ca="1" si="3"/>
        <v/>
      </c>
      <c r="P65" s="13"/>
      <c r="Q65" s="13"/>
      <c r="R65" s="13"/>
      <c r="S65" s="13"/>
    </row>
    <row r="66" spans="1:19" x14ac:dyDescent="0.25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4"/>
      <c r="M66" s="14"/>
      <c r="N66" s="15" t="str">
        <f t="shared" ref="N66:N97" ca="1" si="4">IF(L66="","",L66-TODAY())</f>
        <v/>
      </c>
      <c r="O66" s="16" t="str">
        <f t="shared" ref="O66:O97" ca="1" si="5">IF(L66="","",IF(L66&lt;TODAY(),"PAST EOS — UNSUPPORTED",IF(L66-TODAY()&lt;=365,"EOS within 12 months","Supported")))</f>
        <v/>
      </c>
      <c r="P66" s="13"/>
      <c r="Q66" s="13"/>
      <c r="R66" s="13"/>
      <c r="S66" s="13"/>
    </row>
    <row r="67" spans="1:19" x14ac:dyDescent="0.25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4"/>
      <c r="M67" s="14"/>
      <c r="N67" s="15" t="str">
        <f t="shared" ca="1" si="4"/>
        <v/>
      </c>
      <c r="O67" s="16" t="str">
        <f t="shared" ca="1" si="5"/>
        <v/>
      </c>
      <c r="P67" s="13"/>
      <c r="Q67" s="13"/>
      <c r="R67" s="13"/>
      <c r="S67" s="13"/>
    </row>
    <row r="68" spans="1:19" x14ac:dyDescent="0.25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4"/>
      <c r="M68" s="14"/>
      <c r="N68" s="15" t="str">
        <f t="shared" ca="1" si="4"/>
        <v/>
      </c>
      <c r="O68" s="16" t="str">
        <f t="shared" ca="1" si="5"/>
        <v/>
      </c>
      <c r="P68" s="13"/>
      <c r="Q68" s="13"/>
      <c r="R68" s="13"/>
      <c r="S68" s="13"/>
    </row>
    <row r="69" spans="1:19" x14ac:dyDescent="0.25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4"/>
      <c r="M69" s="14"/>
      <c r="N69" s="15" t="str">
        <f t="shared" ca="1" si="4"/>
        <v/>
      </c>
      <c r="O69" s="16" t="str">
        <f t="shared" ca="1" si="5"/>
        <v/>
      </c>
      <c r="P69" s="13"/>
      <c r="Q69" s="13"/>
      <c r="R69" s="13"/>
      <c r="S69" s="13"/>
    </row>
    <row r="70" spans="1:19" x14ac:dyDescent="0.25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4"/>
      <c r="M70" s="14"/>
      <c r="N70" s="15" t="str">
        <f t="shared" ca="1" si="4"/>
        <v/>
      </c>
      <c r="O70" s="16" t="str">
        <f t="shared" ca="1" si="5"/>
        <v/>
      </c>
      <c r="P70" s="13"/>
      <c r="Q70" s="13"/>
      <c r="R70" s="13"/>
      <c r="S70" s="13"/>
    </row>
    <row r="71" spans="1:19" x14ac:dyDescent="0.25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4"/>
      <c r="M71" s="14"/>
      <c r="N71" s="15" t="str">
        <f t="shared" ca="1" si="4"/>
        <v/>
      </c>
      <c r="O71" s="16" t="str">
        <f t="shared" ca="1" si="5"/>
        <v/>
      </c>
      <c r="P71" s="13"/>
      <c r="Q71" s="13"/>
      <c r="R71" s="13"/>
      <c r="S71" s="13"/>
    </row>
    <row r="72" spans="1:19" x14ac:dyDescent="0.25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4"/>
      <c r="M72" s="14"/>
      <c r="N72" s="15" t="str">
        <f t="shared" ca="1" si="4"/>
        <v/>
      </c>
      <c r="O72" s="16" t="str">
        <f t="shared" ca="1" si="5"/>
        <v/>
      </c>
      <c r="P72" s="13"/>
      <c r="Q72" s="13"/>
      <c r="R72" s="13"/>
      <c r="S72" s="13"/>
    </row>
    <row r="73" spans="1:19" x14ac:dyDescent="0.25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4"/>
      <c r="M73" s="14"/>
      <c r="N73" s="15" t="str">
        <f t="shared" ca="1" si="4"/>
        <v/>
      </c>
      <c r="O73" s="16" t="str">
        <f t="shared" ca="1" si="5"/>
        <v/>
      </c>
      <c r="P73" s="13"/>
      <c r="Q73" s="13"/>
      <c r="R73" s="13"/>
      <c r="S73" s="13"/>
    </row>
    <row r="74" spans="1:19" x14ac:dyDescent="0.25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4"/>
      <c r="M74" s="14"/>
      <c r="N74" s="15" t="str">
        <f t="shared" ca="1" si="4"/>
        <v/>
      </c>
      <c r="O74" s="16" t="str">
        <f t="shared" ca="1" si="5"/>
        <v/>
      </c>
      <c r="P74" s="13"/>
      <c r="Q74" s="13"/>
      <c r="R74" s="13"/>
      <c r="S74" s="13"/>
    </row>
    <row r="75" spans="1:19" x14ac:dyDescent="0.25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4"/>
      <c r="M75" s="14"/>
      <c r="N75" s="15" t="str">
        <f t="shared" ca="1" si="4"/>
        <v/>
      </c>
      <c r="O75" s="16" t="str">
        <f t="shared" ca="1" si="5"/>
        <v/>
      </c>
      <c r="P75" s="13"/>
      <c r="Q75" s="13"/>
      <c r="R75" s="13"/>
      <c r="S75" s="13"/>
    </row>
    <row r="76" spans="1:19" x14ac:dyDescent="0.25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4"/>
      <c r="M76" s="14"/>
      <c r="N76" s="15" t="str">
        <f t="shared" ca="1" si="4"/>
        <v/>
      </c>
      <c r="O76" s="16" t="str">
        <f t="shared" ca="1" si="5"/>
        <v/>
      </c>
      <c r="P76" s="13"/>
      <c r="Q76" s="13"/>
      <c r="R76" s="13"/>
      <c r="S76" s="13"/>
    </row>
    <row r="77" spans="1:19" x14ac:dyDescent="0.25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4"/>
      <c r="M77" s="14"/>
      <c r="N77" s="15" t="str">
        <f t="shared" ca="1" si="4"/>
        <v/>
      </c>
      <c r="O77" s="16" t="str">
        <f t="shared" ca="1" si="5"/>
        <v/>
      </c>
      <c r="P77" s="13"/>
      <c r="Q77" s="13"/>
      <c r="R77" s="13"/>
      <c r="S77" s="13"/>
    </row>
    <row r="78" spans="1:19" x14ac:dyDescent="0.25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4"/>
      <c r="M78" s="14"/>
      <c r="N78" s="15" t="str">
        <f t="shared" ca="1" si="4"/>
        <v/>
      </c>
      <c r="O78" s="16" t="str">
        <f t="shared" ca="1" si="5"/>
        <v/>
      </c>
      <c r="P78" s="13"/>
      <c r="Q78" s="13"/>
      <c r="R78" s="13"/>
      <c r="S78" s="13"/>
    </row>
    <row r="79" spans="1:19" x14ac:dyDescent="0.25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4"/>
      <c r="M79" s="14"/>
      <c r="N79" s="15" t="str">
        <f t="shared" ca="1" si="4"/>
        <v/>
      </c>
      <c r="O79" s="16" t="str">
        <f t="shared" ca="1" si="5"/>
        <v/>
      </c>
      <c r="P79" s="13"/>
      <c r="Q79" s="13"/>
      <c r="R79" s="13"/>
      <c r="S79" s="13"/>
    </row>
    <row r="80" spans="1:19" x14ac:dyDescent="0.25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4"/>
      <c r="M80" s="14"/>
      <c r="N80" s="15" t="str">
        <f t="shared" ca="1" si="4"/>
        <v/>
      </c>
      <c r="O80" s="16" t="str">
        <f t="shared" ca="1" si="5"/>
        <v/>
      </c>
      <c r="P80" s="13"/>
      <c r="Q80" s="13"/>
      <c r="R80" s="13"/>
      <c r="S80" s="13"/>
    </row>
    <row r="81" spans="1:19" x14ac:dyDescent="0.25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4"/>
      <c r="M81" s="14"/>
      <c r="N81" s="15" t="str">
        <f t="shared" ca="1" si="4"/>
        <v/>
      </c>
      <c r="O81" s="16" t="str">
        <f t="shared" ca="1" si="5"/>
        <v/>
      </c>
      <c r="P81" s="13"/>
      <c r="Q81" s="13"/>
      <c r="R81" s="13"/>
      <c r="S81" s="13"/>
    </row>
    <row r="82" spans="1:19" x14ac:dyDescent="0.25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4"/>
      <c r="M82" s="14"/>
      <c r="N82" s="15" t="str">
        <f t="shared" ca="1" si="4"/>
        <v/>
      </c>
      <c r="O82" s="16" t="str">
        <f t="shared" ca="1" si="5"/>
        <v/>
      </c>
      <c r="P82" s="13"/>
      <c r="Q82" s="13"/>
      <c r="R82" s="13"/>
      <c r="S82" s="13"/>
    </row>
    <row r="83" spans="1:19" x14ac:dyDescent="0.25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4"/>
      <c r="M83" s="14"/>
      <c r="N83" s="15" t="str">
        <f t="shared" ca="1" si="4"/>
        <v/>
      </c>
      <c r="O83" s="16" t="str">
        <f t="shared" ca="1" si="5"/>
        <v/>
      </c>
      <c r="P83" s="13"/>
      <c r="Q83" s="13"/>
      <c r="R83" s="13"/>
      <c r="S83" s="13"/>
    </row>
    <row r="84" spans="1:19" x14ac:dyDescent="0.25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4"/>
      <c r="M84" s="14"/>
      <c r="N84" s="15" t="str">
        <f t="shared" ca="1" si="4"/>
        <v/>
      </c>
      <c r="O84" s="16" t="str">
        <f t="shared" ca="1" si="5"/>
        <v/>
      </c>
      <c r="P84" s="13"/>
      <c r="Q84" s="13"/>
      <c r="R84" s="13"/>
      <c r="S84" s="13"/>
    </row>
    <row r="85" spans="1:19" x14ac:dyDescent="0.25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4"/>
      <c r="M85" s="14"/>
      <c r="N85" s="15" t="str">
        <f t="shared" ca="1" si="4"/>
        <v/>
      </c>
      <c r="O85" s="16" t="str">
        <f t="shared" ca="1" si="5"/>
        <v/>
      </c>
      <c r="P85" s="13"/>
      <c r="Q85" s="13"/>
      <c r="R85" s="13"/>
      <c r="S85" s="13"/>
    </row>
    <row r="86" spans="1:19" x14ac:dyDescent="0.25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4"/>
      <c r="M86" s="14"/>
      <c r="N86" s="15" t="str">
        <f t="shared" ca="1" si="4"/>
        <v/>
      </c>
      <c r="O86" s="16" t="str">
        <f t="shared" ca="1" si="5"/>
        <v/>
      </c>
      <c r="P86" s="13"/>
      <c r="Q86" s="13"/>
      <c r="R86" s="13"/>
      <c r="S86" s="13"/>
    </row>
    <row r="87" spans="1:19" x14ac:dyDescent="0.25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4"/>
      <c r="M87" s="14"/>
      <c r="N87" s="15" t="str">
        <f t="shared" ca="1" si="4"/>
        <v/>
      </c>
      <c r="O87" s="16" t="str">
        <f t="shared" ca="1" si="5"/>
        <v/>
      </c>
      <c r="P87" s="13"/>
      <c r="Q87" s="13"/>
      <c r="R87" s="13"/>
      <c r="S87" s="13"/>
    </row>
    <row r="88" spans="1:19" x14ac:dyDescent="0.25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4"/>
      <c r="M88" s="14"/>
      <c r="N88" s="15" t="str">
        <f t="shared" ca="1" si="4"/>
        <v/>
      </c>
      <c r="O88" s="16" t="str">
        <f t="shared" ca="1" si="5"/>
        <v/>
      </c>
      <c r="P88" s="13"/>
      <c r="Q88" s="13"/>
      <c r="R88" s="13"/>
      <c r="S88" s="13"/>
    </row>
    <row r="89" spans="1:19" x14ac:dyDescent="0.25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4"/>
      <c r="M89" s="14"/>
      <c r="N89" s="15" t="str">
        <f t="shared" ca="1" si="4"/>
        <v/>
      </c>
      <c r="O89" s="16" t="str">
        <f t="shared" ca="1" si="5"/>
        <v/>
      </c>
      <c r="P89" s="13"/>
      <c r="Q89" s="13"/>
      <c r="R89" s="13"/>
      <c r="S89" s="13"/>
    </row>
    <row r="90" spans="1:19" x14ac:dyDescent="0.25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4"/>
      <c r="M90" s="14"/>
      <c r="N90" s="15" t="str">
        <f t="shared" ca="1" si="4"/>
        <v/>
      </c>
      <c r="O90" s="16" t="str">
        <f t="shared" ca="1" si="5"/>
        <v/>
      </c>
      <c r="P90" s="13"/>
      <c r="Q90" s="13"/>
      <c r="R90" s="13"/>
      <c r="S90" s="13"/>
    </row>
    <row r="91" spans="1:19" x14ac:dyDescent="0.25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4"/>
      <c r="M91" s="14"/>
      <c r="N91" s="15" t="str">
        <f t="shared" ca="1" si="4"/>
        <v/>
      </c>
      <c r="O91" s="16" t="str">
        <f t="shared" ca="1" si="5"/>
        <v/>
      </c>
      <c r="P91" s="13"/>
      <c r="Q91" s="13"/>
      <c r="R91" s="13"/>
      <c r="S91" s="13"/>
    </row>
    <row r="92" spans="1:19" x14ac:dyDescent="0.25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4"/>
      <c r="M92" s="14"/>
      <c r="N92" s="15" t="str">
        <f t="shared" ca="1" si="4"/>
        <v/>
      </c>
      <c r="O92" s="16" t="str">
        <f t="shared" ca="1" si="5"/>
        <v/>
      </c>
      <c r="P92" s="13"/>
      <c r="Q92" s="13"/>
      <c r="R92" s="13"/>
      <c r="S92" s="13"/>
    </row>
    <row r="93" spans="1:19" x14ac:dyDescent="0.25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4"/>
      <c r="M93" s="14"/>
      <c r="N93" s="15" t="str">
        <f t="shared" ca="1" si="4"/>
        <v/>
      </c>
      <c r="O93" s="16" t="str">
        <f t="shared" ca="1" si="5"/>
        <v/>
      </c>
      <c r="P93" s="13"/>
      <c r="Q93" s="13"/>
      <c r="R93" s="13"/>
      <c r="S93" s="13"/>
    </row>
    <row r="94" spans="1:19" x14ac:dyDescent="0.25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4"/>
      <c r="M94" s="14"/>
      <c r="N94" s="15" t="str">
        <f t="shared" ca="1" si="4"/>
        <v/>
      </c>
      <c r="O94" s="16" t="str">
        <f t="shared" ca="1" si="5"/>
        <v/>
      </c>
      <c r="P94" s="13"/>
      <c r="Q94" s="13"/>
      <c r="R94" s="13"/>
      <c r="S94" s="13"/>
    </row>
    <row r="95" spans="1:19" x14ac:dyDescent="0.25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4"/>
      <c r="M95" s="14"/>
      <c r="N95" s="15" t="str">
        <f t="shared" ca="1" si="4"/>
        <v/>
      </c>
      <c r="O95" s="16" t="str">
        <f t="shared" ca="1" si="5"/>
        <v/>
      </c>
      <c r="P95" s="13"/>
      <c r="Q95" s="13"/>
      <c r="R95" s="13"/>
      <c r="S95" s="13"/>
    </row>
    <row r="96" spans="1:19" x14ac:dyDescent="0.25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4"/>
      <c r="M96" s="14"/>
      <c r="N96" s="15" t="str">
        <f t="shared" ca="1" si="4"/>
        <v/>
      </c>
      <c r="O96" s="16" t="str">
        <f t="shared" ca="1" si="5"/>
        <v/>
      </c>
      <c r="P96" s="13"/>
      <c r="Q96" s="13"/>
      <c r="R96" s="13"/>
      <c r="S96" s="13"/>
    </row>
    <row r="97" spans="1:19" x14ac:dyDescent="0.25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4"/>
      <c r="M97" s="14"/>
      <c r="N97" s="15" t="str">
        <f t="shared" ca="1" si="4"/>
        <v/>
      </c>
      <c r="O97" s="16" t="str">
        <f t="shared" ca="1" si="5"/>
        <v/>
      </c>
      <c r="P97" s="13"/>
      <c r="Q97" s="13"/>
      <c r="R97" s="13"/>
      <c r="S97" s="13"/>
    </row>
    <row r="98" spans="1:19" x14ac:dyDescent="0.25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4"/>
      <c r="M98" s="14"/>
      <c r="N98" s="15" t="str">
        <f t="shared" ref="N98:N121" ca="1" si="6">IF(L98="","",L98-TODAY())</f>
        <v/>
      </c>
      <c r="O98" s="16" t="str">
        <f t="shared" ref="O98:O121" ca="1" si="7">IF(L98="","",IF(L98&lt;TODAY(),"PAST EOS — UNSUPPORTED",IF(L98-TODAY()&lt;=365,"EOS within 12 months","Supported")))</f>
        <v/>
      </c>
      <c r="P98" s="13"/>
      <c r="Q98" s="13"/>
      <c r="R98" s="13"/>
      <c r="S98" s="13"/>
    </row>
    <row r="99" spans="1:19" x14ac:dyDescent="0.25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4"/>
      <c r="M99" s="14"/>
      <c r="N99" s="15" t="str">
        <f t="shared" ca="1" si="6"/>
        <v/>
      </c>
      <c r="O99" s="16" t="str">
        <f t="shared" ca="1" si="7"/>
        <v/>
      </c>
      <c r="P99" s="13"/>
      <c r="Q99" s="13"/>
      <c r="R99" s="13"/>
      <c r="S99" s="13"/>
    </row>
    <row r="100" spans="1:19" x14ac:dyDescent="0.25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4"/>
      <c r="M100" s="14"/>
      <c r="N100" s="15" t="str">
        <f t="shared" ca="1" si="6"/>
        <v/>
      </c>
      <c r="O100" s="16" t="str">
        <f t="shared" ca="1" si="7"/>
        <v/>
      </c>
      <c r="P100" s="13"/>
      <c r="Q100" s="13"/>
      <c r="R100" s="13"/>
      <c r="S100" s="13"/>
    </row>
    <row r="101" spans="1:19" x14ac:dyDescent="0.25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4"/>
      <c r="M101" s="14"/>
      <c r="N101" s="15" t="str">
        <f t="shared" ca="1" si="6"/>
        <v/>
      </c>
      <c r="O101" s="16" t="str">
        <f t="shared" ca="1" si="7"/>
        <v/>
      </c>
      <c r="P101" s="13"/>
      <c r="Q101" s="13"/>
      <c r="R101" s="13"/>
      <c r="S101" s="13"/>
    </row>
    <row r="102" spans="1:19" x14ac:dyDescent="0.25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4"/>
      <c r="M102" s="14"/>
      <c r="N102" s="15" t="str">
        <f t="shared" ca="1" si="6"/>
        <v/>
      </c>
      <c r="O102" s="16" t="str">
        <f t="shared" ca="1" si="7"/>
        <v/>
      </c>
      <c r="P102" s="13"/>
      <c r="Q102" s="13"/>
      <c r="R102" s="13"/>
      <c r="S102" s="13"/>
    </row>
    <row r="103" spans="1:19" x14ac:dyDescent="0.25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4"/>
      <c r="M103" s="14"/>
      <c r="N103" s="15" t="str">
        <f t="shared" ca="1" si="6"/>
        <v/>
      </c>
      <c r="O103" s="16" t="str">
        <f t="shared" ca="1" si="7"/>
        <v/>
      </c>
      <c r="P103" s="13"/>
      <c r="Q103" s="13"/>
      <c r="R103" s="13"/>
      <c r="S103" s="13"/>
    </row>
    <row r="104" spans="1:19" x14ac:dyDescent="0.25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4"/>
      <c r="M104" s="14"/>
      <c r="N104" s="15" t="str">
        <f t="shared" ca="1" si="6"/>
        <v/>
      </c>
      <c r="O104" s="16" t="str">
        <f t="shared" ca="1" si="7"/>
        <v/>
      </c>
      <c r="P104" s="13"/>
      <c r="Q104" s="13"/>
      <c r="R104" s="13"/>
      <c r="S104" s="13"/>
    </row>
    <row r="105" spans="1:19" x14ac:dyDescent="0.25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4"/>
      <c r="M105" s="14"/>
      <c r="N105" s="15" t="str">
        <f t="shared" ca="1" si="6"/>
        <v/>
      </c>
      <c r="O105" s="16" t="str">
        <f t="shared" ca="1" si="7"/>
        <v/>
      </c>
      <c r="P105" s="13"/>
      <c r="Q105" s="13"/>
      <c r="R105" s="13"/>
      <c r="S105" s="13"/>
    </row>
    <row r="106" spans="1:19" x14ac:dyDescent="0.25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4"/>
      <c r="M106" s="14"/>
      <c r="N106" s="15" t="str">
        <f t="shared" ca="1" si="6"/>
        <v/>
      </c>
      <c r="O106" s="16" t="str">
        <f t="shared" ca="1" si="7"/>
        <v/>
      </c>
      <c r="P106" s="13"/>
      <c r="Q106" s="13"/>
      <c r="R106" s="13"/>
      <c r="S106" s="13"/>
    </row>
    <row r="107" spans="1:19" x14ac:dyDescent="0.25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4"/>
      <c r="M107" s="14"/>
      <c r="N107" s="15" t="str">
        <f t="shared" ca="1" si="6"/>
        <v/>
      </c>
      <c r="O107" s="16" t="str">
        <f t="shared" ca="1" si="7"/>
        <v/>
      </c>
      <c r="P107" s="13"/>
      <c r="Q107" s="13"/>
      <c r="R107" s="13"/>
      <c r="S107" s="13"/>
    </row>
    <row r="108" spans="1:19" x14ac:dyDescent="0.25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4"/>
      <c r="M108" s="14"/>
      <c r="N108" s="15" t="str">
        <f t="shared" ca="1" si="6"/>
        <v/>
      </c>
      <c r="O108" s="16" t="str">
        <f t="shared" ca="1" si="7"/>
        <v/>
      </c>
      <c r="P108" s="13"/>
      <c r="Q108" s="13"/>
      <c r="R108" s="13"/>
      <c r="S108" s="13"/>
    </row>
    <row r="109" spans="1:19" x14ac:dyDescent="0.25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4"/>
      <c r="M109" s="14"/>
      <c r="N109" s="15" t="str">
        <f t="shared" ca="1" si="6"/>
        <v/>
      </c>
      <c r="O109" s="16" t="str">
        <f t="shared" ca="1" si="7"/>
        <v/>
      </c>
      <c r="P109" s="13"/>
      <c r="Q109" s="13"/>
      <c r="R109" s="13"/>
      <c r="S109" s="13"/>
    </row>
    <row r="110" spans="1:19" x14ac:dyDescent="0.25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4"/>
      <c r="M110" s="14"/>
      <c r="N110" s="15" t="str">
        <f t="shared" ca="1" si="6"/>
        <v/>
      </c>
      <c r="O110" s="16" t="str">
        <f t="shared" ca="1" si="7"/>
        <v/>
      </c>
      <c r="P110" s="13"/>
      <c r="Q110" s="13"/>
      <c r="R110" s="13"/>
      <c r="S110" s="13"/>
    </row>
    <row r="111" spans="1:19" x14ac:dyDescent="0.25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4"/>
      <c r="M111" s="14"/>
      <c r="N111" s="15" t="str">
        <f t="shared" ca="1" si="6"/>
        <v/>
      </c>
      <c r="O111" s="16" t="str">
        <f t="shared" ca="1" si="7"/>
        <v/>
      </c>
      <c r="P111" s="13"/>
      <c r="Q111" s="13"/>
      <c r="R111" s="13"/>
      <c r="S111" s="13"/>
    </row>
    <row r="112" spans="1:19" x14ac:dyDescent="0.25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4"/>
      <c r="M112" s="14"/>
      <c r="N112" s="15" t="str">
        <f t="shared" ca="1" si="6"/>
        <v/>
      </c>
      <c r="O112" s="16" t="str">
        <f t="shared" ca="1" si="7"/>
        <v/>
      </c>
      <c r="P112" s="13"/>
      <c r="Q112" s="13"/>
      <c r="R112" s="13"/>
      <c r="S112" s="13"/>
    </row>
    <row r="113" spans="1:19" x14ac:dyDescent="0.25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4"/>
      <c r="M113" s="14"/>
      <c r="N113" s="15" t="str">
        <f t="shared" ca="1" si="6"/>
        <v/>
      </c>
      <c r="O113" s="16" t="str">
        <f t="shared" ca="1" si="7"/>
        <v/>
      </c>
      <c r="P113" s="13"/>
      <c r="Q113" s="13"/>
      <c r="R113" s="13"/>
      <c r="S113" s="13"/>
    </row>
    <row r="114" spans="1:19" x14ac:dyDescent="0.25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4"/>
      <c r="M114" s="14"/>
      <c r="N114" s="15" t="str">
        <f t="shared" ca="1" si="6"/>
        <v/>
      </c>
      <c r="O114" s="16" t="str">
        <f t="shared" ca="1" si="7"/>
        <v/>
      </c>
      <c r="P114" s="13"/>
      <c r="Q114" s="13"/>
      <c r="R114" s="13"/>
      <c r="S114" s="13"/>
    </row>
    <row r="115" spans="1:19" x14ac:dyDescent="0.25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4"/>
      <c r="M115" s="14"/>
      <c r="N115" s="15" t="str">
        <f t="shared" ca="1" si="6"/>
        <v/>
      </c>
      <c r="O115" s="16" t="str">
        <f t="shared" ca="1" si="7"/>
        <v/>
      </c>
      <c r="P115" s="13"/>
      <c r="Q115" s="13"/>
      <c r="R115" s="13"/>
      <c r="S115" s="13"/>
    </row>
    <row r="116" spans="1:19" x14ac:dyDescent="0.25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M116" s="14"/>
      <c r="N116" s="15" t="str">
        <f t="shared" ca="1" si="6"/>
        <v/>
      </c>
      <c r="O116" s="16" t="str">
        <f t="shared" ca="1" si="7"/>
        <v/>
      </c>
      <c r="P116" s="13"/>
      <c r="Q116" s="13"/>
      <c r="R116" s="13"/>
      <c r="S116" s="13"/>
    </row>
    <row r="117" spans="1:19" x14ac:dyDescent="0.25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4"/>
      <c r="M117" s="14"/>
      <c r="N117" s="15" t="str">
        <f t="shared" ca="1" si="6"/>
        <v/>
      </c>
      <c r="O117" s="16" t="str">
        <f t="shared" ca="1" si="7"/>
        <v/>
      </c>
      <c r="P117" s="13"/>
      <c r="Q117" s="13"/>
      <c r="R117" s="13"/>
      <c r="S117" s="13"/>
    </row>
    <row r="118" spans="1:19" x14ac:dyDescent="0.25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4"/>
      <c r="M118" s="14"/>
      <c r="N118" s="15" t="str">
        <f t="shared" ca="1" si="6"/>
        <v/>
      </c>
      <c r="O118" s="16" t="str">
        <f t="shared" ca="1" si="7"/>
        <v/>
      </c>
      <c r="P118" s="13"/>
      <c r="Q118" s="13"/>
      <c r="R118" s="13"/>
      <c r="S118" s="13"/>
    </row>
    <row r="119" spans="1:19" x14ac:dyDescent="0.25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4"/>
      <c r="M119" s="14"/>
      <c r="N119" s="15" t="str">
        <f t="shared" ca="1" si="6"/>
        <v/>
      </c>
      <c r="O119" s="16" t="str">
        <f t="shared" ca="1" si="7"/>
        <v/>
      </c>
      <c r="P119" s="13"/>
      <c r="Q119" s="13"/>
      <c r="R119" s="13"/>
      <c r="S119" s="13"/>
    </row>
    <row r="120" spans="1:19" x14ac:dyDescent="0.25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4"/>
      <c r="M120" s="14"/>
      <c r="N120" s="15" t="str">
        <f t="shared" ca="1" si="6"/>
        <v/>
      </c>
      <c r="O120" s="16" t="str">
        <f t="shared" ca="1" si="7"/>
        <v/>
      </c>
      <c r="P120" s="13"/>
      <c r="Q120" s="13"/>
      <c r="R120" s="13"/>
      <c r="S120" s="13"/>
    </row>
    <row r="121" spans="1:19" x14ac:dyDescent="0.25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4"/>
      <c r="M121" s="14"/>
      <c r="N121" s="15" t="str">
        <f t="shared" ca="1" si="6"/>
        <v/>
      </c>
      <c r="O121" s="16" t="str">
        <f t="shared" ca="1" si="7"/>
        <v/>
      </c>
      <c r="P121" s="13"/>
      <c r="Q121" s="13"/>
      <c r="R121" s="13"/>
      <c r="S121" s="13"/>
    </row>
  </sheetData>
  <mergeCells count="7">
    <mergeCell ref="P1:R1"/>
    <mergeCell ref="S1:S2"/>
    <mergeCell ref="A1:A2"/>
    <mergeCell ref="B1:G1"/>
    <mergeCell ref="H1:J1"/>
    <mergeCell ref="K1:M1"/>
    <mergeCell ref="N1:O1"/>
  </mergeCells>
  <conditionalFormatting sqref="K3:K199">
    <cfRule type="expression" dxfId="20" priority="10">
      <formula>OR(K3="No longer maintained",K3="Abandoned")</formula>
    </cfRule>
  </conditionalFormatting>
  <conditionalFormatting sqref="L3:L199">
    <cfRule type="expression" dxfId="19" priority="2">
      <formula>AND($L3&lt;&gt;"",$L3&lt;TODAY())</formula>
    </cfRule>
    <cfRule type="expression" dxfId="18" priority="3">
      <formula>AND($L3&lt;&gt;"",$L3&gt;=TODAY(),$L3-TODAY()&lt;=365)</formula>
    </cfRule>
  </conditionalFormatting>
  <conditionalFormatting sqref="M3:M199">
    <cfRule type="expression" dxfId="17" priority="4">
      <formula>AND($M3&lt;&gt;"",$M3&lt;TODAY())</formula>
    </cfRule>
    <cfRule type="expression" dxfId="16" priority="5">
      <formula>AND($M3&lt;&gt;"",$M3&gt;=TODAY(),$M3-TODAY()&lt;=365)</formula>
    </cfRule>
  </conditionalFormatting>
  <conditionalFormatting sqref="N3:N199">
    <cfRule type="expression" dxfId="15" priority="6">
      <formula>AND(ISNUMBER(N3),N3&lt;0)</formula>
    </cfRule>
    <cfRule type="expression" dxfId="14" priority="7">
      <formula>AND(ISNUMBER(N3),N3&gt;=0,N3&lt;=365)</formula>
    </cfRule>
  </conditionalFormatting>
  <conditionalFormatting sqref="O3:O199">
    <cfRule type="expression" dxfId="13" priority="8">
      <formula>ISNUMBER(SEARCH("PAST EOS",O3))</formula>
    </cfRule>
    <cfRule type="expression" dxfId="12" priority="9">
      <formula>ISNUMBER(SEARCH("within 12",O3))</formula>
    </cfRule>
  </conditionalFormatting>
  <dataValidations count="4">
    <dataValidation type="list" allowBlank="1" sqref="E3:E199" xr:uid="{00000000-0002-0000-0200-000000000000}">
      <formula1>"CPE,PURL,SWID,OmniBOR,Other"</formula1>
      <formula2>0</formula2>
    </dataValidation>
    <dataValidation type="list" allowBlank="1" sqref="H3:H199" xr:uid="{00000000-0002-0000-0200-000001000000}">
      <formula1>"Application,Operating System,Library,Framework,Driver,Firmware,Middleware,Container/Image,Other"</formula1>
      <formula2>0</formula2>
    </dataValidation>
    <dataValidation type="list" allowBlank="1" sqref="I3:I199" xr:uid="{00000000-0002-0000-0200-000002000000}">
      <formula1>"Commercial (COTS),Open-Source (OSS),Off-the-Shelf (OTS),Proprietary/In-house,Other"</formula1>
      <formula2>0</formula2>
    </dataValidation>
    <dataValidation type="list" allowBlank="1" sqref="K3:K199" xr:uid="{00000000-0002-0000-0200-000003000000}">
      <formula1>"Actively maintained,No longer maintained,Abandoned,Unknown"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2"/>
  <sheetViews>
    <sheetView showGridLines="0" zoomScaleNormal="100" workbookViewId="0">
      <pane ySplit="2" topLeftCell="A3" activePane="bottomLeft" state="frozen"/>
      <selection pane="bottomLeft" activeCell="A3" sqref="A3:XFD3"/>
    </sheetView>
  </sheetViews>
  <sheetFormatPr defaultColWidth="8.5703125" defaultRowHeight="15" x14ac:dyDescent="0.25"/>
  <cols>
    <col min="1" max="1" width="6" customWidth="1"/>
    <col min="2" max="2" width="22" customWidth="1"/>
    <col min="3" max="3" width="14" customWidth="1"/>
    <col min="4" max="4" width="22" customWidth="1"/>
    <col min="5" max="5" width="11" customWidth="1"/>
    <col min="6" max="7" width="12" customWidth="1"/>
    <col min="8" max="8" width="18" customWidth="1"/>
    <col min="9" max="9" width="30" customWidth="1"/>
    <col min="10" max="11" width="26" customWidth="1"/>
    <col min="12" max="13" width="14" customWidth="1"/>
    <col min="14" max="14" width="24" customWidth="1"/>
  </cols>
  <sheetData>
    <row r="1" spans="1:14" ht="24" customHeight="1" x14ac:dyDescent="0.25">
      <c r="A1" s="18" t="s">
        <v>120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9.75" customHeight="1" x14ac:dyDescent="0.25">
      <c r="A2" s="3" t="s">
        <v>82</v>
      </c>
      <c r="B2" s="3" t="s">
        <v>18</v>
      </c>
      <c r="C2" s="3" t="s">
        <v>121</v>
      </c>
      <c r="D2" s="3" t="s">
        <v>122</v>
      </c>
      <c r="E2" s="3" t="s">
        <v>123</v>
      </c>
      <c r="F2" s="3" t="s">
        <v>124</v>
      </c>
      <c r="G2" s="3" t="s">
        <v>125</v>
      </c>
      <c r="H2" s="3" t="s">
        <v>126</v>
      </c>
      <c r="I2" s="3" t="s">
        <v>127</v>
      </c>
      <c r="J2" s="3" t="s">
        <v>128</v>
      </c>
      <c r="K2" s="3" t="s">
        <v>129</v>
      </c>
      <c r="L2" s="3" t="s">
        <v>130</v>
      </c>
      <c r="M2" s="3" t="s">
        <v>131</v>
      </c>
      <c r="N2" s="3" t="s">
        <v>132</v>
      </c>
    </row>
    <row r="3" spans="1:14" s="32" customFormat="1" ht="38.25" x14ac:dyDescent="0.25">
      <c r="A3" s="27" t="s">
        <v>104</v>
      </c>
      <c r="B3" s="28" t="s">
        <v>105</v>
      </c>
      <c r="C3" s="28" t="s">
        <v>106</v>
      </c>
      <c r="D3" s="28" t="s">
        <v>133</v>
      </c>
      <c r="E3" s="27" t="s">
        <v>134</v>
      </c>
      <c r="F3" s="27" t="s">
        <v>135</v>
      </c>
      <c r="G3" s="27" t="s">
        <v>136</v>
      </c>
      <c r="H3" s="28" t="s">
        <v>137</v>
      </c>
      <c r="I3" s="28"/>
      <c r="J3" s="28" t="s">
        <v>138</v>
      </c>
      <c r="K3" s="28" t="s">
        <v>139</v>
      </c>
      <c r="L3" s="31" t="s">
        <v>140</v>
      </c>
      <c r="M3" s="28" t="s">
        <v>141</v>
      </c>
      <c r="N3" s="28" t="s">
        <v>119</v>
      </c>
    </row>
    <row r="4" spans="1:14" x14ac:dyDescent="0.25">
      <c r="A4" s="12"/>
      <c r="B4" s="13"/>
      <c r="C4" s="13"/>
      <c r="D4" s="13"/>
      <c r="E4" s="12"/>
      <c r="F4" s="12"/>
      <c r="G4" s="12"/>
      <c r="H4" s="13"/>
      <c r="I4" s="13"/>
      <c r="J4" s="13"/>
      <c r="K4" s="13"/>
      <c r="L4" s="14"/>
      <c r="M4" s="13"/>
      <c r="N4" s="13"/>
    </row>
    <row r="5" spans="1:14" x14ac:dyDescent="0.25">
      <c r="A5" s="12"/>
      <c r="B5" s="13"/>
      <c r="C5" s="13"/>
      <c r="D5" s="13"/>
      <c r="E5" s="12"/>
      <c r="F5" s="12"/>
      <c r="G5" s="12"/>
      <c r="H5" s="13"/>
      <c r="I5" s="13"/>
      <c r="J5" s="13"/>
      <c r="K5" s="13"/>
      <c r="L5" s="14"/>
      <c r="M5" s="13"/>
      <c r="N5" s="13"/>
    </row>
    <row r="6" spans="1:14" x14ac:dyDescent="0.25">
      <c r="A6" s="12"/>
      <c r="B6" s="13"/>
      <c r="C6" s="13"/>
      <c r="D6" s="13"/>
      <c r="E6" s="12"/>
      <c r="F6" s="12"/>
      <c r="G6" s="12"/>
      <c r="H6" s="13"/>
      <c r="I6" s="13"/>
      <c r="J6" s="13"/>
      <c r="K6" s="13"/>
      <c r="L6" s="14"/>
      <c r="M6" s="13"/>
      <c r="N6" s="13"/>
    </row>
    <row r="7" spans="1:14" x14ac:dyDescent="0.25">
      <c r="A7" s="12"/>
      <c r="B7" s="13"/>
      <c r="C7" s="13"/>
      <c r="D7" s="13"/>
      <c r="E7" s="12"/>
      <c r="F7" s="12"/>
      <c r="G7" s="12"/>
      <c r="H7" s="13"/>
      <c r="I7" s="13"/>
      <c r="J7" s="13"/>
      <c r="K7" s="13"/>
      <c r="L7" s="14"/>
      <c r="M7" s="13"/>
      <c r="N7" s="13"/>
    </row>
    <row r="8" spans="1:14" x14ac:dyDescent="0.25">
      <c r="A8" s="12"/>
      <c r="B8" s="13"/>
      <c r="C8" s="13"/>
      <c r="D8" s="13"/>
      <c r="E8" s="12"/>
      <c r="F8" s="12"/>
      <c r="G8" s="12"/>
      <c r="H8" s="13"/>
      <c r="I8" s="13"/>
      <c r="J8" s="13"/>
      <c r="K8" s="13"/>
      <c r="L8" s="14"/>
      <c r="M8" s="13"/>
      <c r="N8" s="13"/>
    </row>
    <row r="9" spans="1:14" x14ac:dyDescent="0.25">
      <c r="A9" s="12"/>
      <c r="B9" s="13"/>
      <c r="C9" s="13"/>
      <c r="D9" s="13"/>
      <c r="E9" s="12"/>
      <c r="F9" s="12"/>
      <c r="G9" s="12"/>
      <c r="H9" s="13"/>
      <c r="I9" s="13"/>
      <c r="J9" s="13"/>
      <c r="K9" s="13"/>
      <c r="L9" s="14"/>
      <c r="M9" s="13"/>
      <c r="N9" s="13"/>
    </row>
    <row r="10" spans="1:14" x14ac:dyDescent="0.25">
      <c r="A10" s="12"/>
      <c r="B10" s="13"/>
      <c r="C10" s="13"/>
      <c r="D10" s="13"/>
      <c r="E10" s="12"/>
      <c r="F10" s="12"/>
      <c r="G10" s="12"/>
      <c r="H10" s="13"/>
      <c r="I10" s="13"/>
      <c r="J10" s="13"/>
      <c r="K10" s="13"/>
      <c r="L10" s="14"/>
      <c r="M10" s="13"/>
      <c r="N10" s="13"/>
    </row>
    <row r="11" spans="1:14" x14ac:dyDescent="0.25">
      <c r="A11" s="12"/>
      <c r="B11" s="13"/>
      <c r="C11" s="13"/>
      <c r="D11" s="13"/>
      <c r="E11" s="12"/>
      <c r="F11" s="12"/>
      <c r="G11" s="12"/>
      <c r="H11" s="13"/>
      <c r="I11" s="13"/>
      <c r="J11" s="13"/>
      <c r="K11" s="13"/>
      <c r="L11" s="14"/>
      <c r="M11" s="13"/>
      <c r="N11" s="13"/>
    </row>
    <row r="12" spans="1:14" x14ac:dyDescent="0.25">
      <c r="A12" s="12"/>
      <c r="B12" s="13"/>
      <c r="C12" s="13"/>
      <c r="D12" s="13"/>
      <c r="E12" s="12"/>
      <c r="F12" s="12"/>
      <c r="G12" s="12"/>
      <c r="H12" s="13"/>
      <c r="I12" s="13"/>
      <c r="J12" s="13"/>
      <c r="K12" s="13"/>
      <c r="L12" s="14"/>
      <c r="M12" s="13"/>
      <c r="N12" s="13"/>
    </row>
    <row r="13" spans="1:14" x14ac:dyDescent="0.25">
      <c r="A13" s="12"/>
      <c r="B13" s="13"/>
      <c r="C13" s="13"/>
      <c r="D13" s="13"/>
      <c r="E13" s="12"/>
      <c r="F13" s="12"/>
      <c r="G13" s="12"/>
      <c r="H13" s="13"/>
      <c r="I13" s="13"/>
      <c r="J13" s="13"/>
      <c r="K13" s="13"/>
      <c r="L13" s="14"/>
      <c r="M13" s="13"/>
      <c r="N13" s="13"/>
    </row>
    <row r="14" spans="1:14" x14ac:dyDescent="0.25">
      <c r="A14" s="12"/>
      <c r="B14" s="13"/>
      <c r="C14" s="13"/>
      <c r="D14" s="13"/>
      <c r="E14" s="12"/>
      <c r="F14" s="12"/>
      <c r="G14" s="12"/>
      <c r="H14" s="13"/>
      <c r="I14" s="13"/>
      <c r="J14" s="13"/>
      <c r="K14" s="13"/>
      <c r="L14" s="14"/>
      <c r="M14" s="13"/>
      <c r="N14" s="13"/>
    </row>
    <row r="15" spans="1:14" x14ac:dyDescent="0.25">
      <c r="A15" s="12"/>
      <c r="B15" s="13"/>
      <c r="C15" s="13"/>
      <c r="D15" s="13"/>
      <c r="E15" s="12"/>
      <c r="F15" s="12"/>
      <c r="G15" s="12"/>
      <c r="H15" s="13"/>
      <c r="I15" s="13"/>
      <c r="J15" s="13"/>
      <c r="K15" s="13"/>
      <c r="L15" s="14"/>
      <c r="M15" s="13"/>
      <c r="N15" s="13"/>
    </row>
    <row r="16" spans="1:14" x14ac:dyDescent="0.25">
      <c r="A16" s="12"/>
      <c r="B16" s="13"/>
      <c r="C16" s="13"/>
      <c r="D16" s="13"/>
      <c r="E16" s="12"/>
      <c r="F16" s="12"/>
      <c r="G16" s="12"/>
      <c r="H16" s="13"/>
      <c r="I16" s="13"/>
      <c r="J16" s="13"/>
      <c r="K16" s="13"/>
      <c r="L16" s="14"/>
      <c r="M16" s="13"/>
      <c r="N16" s="13"/>
    </row>
    <row r="17" spans="1:14" x14ac:dyDescent="0.25">
      <c r="A17" s="12"/>
      <c r="B17" s="13"/>
      <c r="C17" s="13"/>
      <c r="D17" s="13"/>
      <c r="E17" s="12"/>
      <c r="F17" s="12"/>
      <c r="G17" s="12"/>
      <c r="H17" s="13"/>
      <c r="I17" s="13"/>
      <c r="J17" s="13"/>
      <c r="K17" s="13"/>
      <c r="L17" s="14"/>
      <c r="M17" s="13"/>
      <c r="N17" s="13"/>
    </row>
    <row r="18" spans="1:14" x14ac:dyDescent="0.25">
      <c r="A18" s="12"/>
      <c r="B18" s="13"/>
      <c r="C18" s="13"/>
      <c r="D18" s="13"/>
      <c r="E18" s="12"/>
      <c r="F18" s="12"/>
      <c r="G18" s="12"/>
      <c r="H18" s="13"/>
      <c r="I18" s="13"/>
      <c r="J18" s="13"/>
      <c r="K18" s="13"/>
      <c r="L18" s="14"/>
      <c r="M18" s="13"/>
      <c r="N18" s="13"/>
    </row>
    <row r="19" spans="1:14" x14ac:dyDescent="0.25">
      <c r="A19" s="12"/>
      <c r="B19" s="13"/>
      <c r="C19" s="13"/>
      <c r="D19" s="13"/>
      <c r="E19" s="12"/>
      <c r="F19" s="12"/>
      <c r="G19" s="12"/>
      <c r="H19" s="13"/>
      <c r="I19" s="13"/>
      <c r="J19" s="13"/>
      <c r="K19" s="13"/>
      <c r="L19" s="14"/>
      <c r="M19" s="13"/>
      <c r="N19" s="13"/>
    </row>
    <row r="20" spans="1:14" x14ac:dyDescent="0.25">
      <c r="A20" s="12"/>
      <c r="B20" s="13"/>
      <c r="C20" s="13"/>
      <c r="D20" s="13"/>
      <c r="E20" s="12"/>
      <c r="F20" s="12"/>
      <c r="G20" s="12"/>
      <c r="H20" s="13"/>
      <c r="I20" s="13"/>
      <c r="J20" s="13"/>
      <c r="K20" s="13"/>
      <c r="L20" s="14"/>
      <c r="M20" s="13"/>
      <c r="N20" s="13"/>
    </row>
    <row r="21" spans="1:14" x14ac:dyDescent="0.25">
      <c r="A21" s="12"/>
      <c r="B21" s="13"/>
      <c r="C21" s="13"/>
      <c r="D21" s="13"/>
      <c r="E21" s="12"/>
      <c r="F21" s="12"/>
      <c r="G21" s="12"/>
      <c r="H21" s="13"/>
      <c r="I21" s="13"/>
      <c r="J21" s="13"/>
      <c r="K21" s="13"/>
      <c r="L21" s="14"/>
      <c r="M21" s="13"/>
      <c r="N21" s="13"/>
    </row>
    <row r="22" spans="1:14" x14ac:dyDescent="0.25">
      <c r="A22" s="12"/>
      <c r="B22" s="13"/>
      <c r="C22" s="13"/>
      <c r="D22" s="13"/>
      <c r="E22" s="12"/>
      <c r="F22" s="12"/>
      <c r="G22" s="12"/>
      <c r="H22" s="13"/>
      <c r="I22" s="13"/>
      <c r="J22" s="13"/>
      <c r="K22" s="13"/>
      <c r="L22" s="14"/>
      <c r="M22" s="13"/>
      <c r="N22" s="13"/>
    </row>
    <row r="23" spans="1:14" x14ac:dyDescent="0.25">
      <c r="A23" s="12"/>
      <c r="B23" s="13"/>
      <c r="C23" s="13"/>
      <c r="D23" s="13"/>
      <c r="E23" s="12"/>
      <c r="F23" s="12"/>
      <c r="G23" s="12"/>
      <c r="H23" s="13"/>
      <c r="I23" s="13"/>
      <c r="J23" s="13"/>
      <c r="K23" s="13"/>
      <c r="L23" s="14"/>
      <c r="M23" s="13"/>
      <c r="N23" s="13"/>
    </row>
    <row r="24" spans="1:14" x14ac:dyDescent="0.25">
      <c r="A24" s="12"/>
      <c r="B24" s="13"/>
      <c r="C24" s="13"/>
      <c r="D24" s="13"/>
      <c r="E24" s="12"/>
      <c r="F24" s="12"/>
      <c r="G24" s="12"/>
      <c r="H24" s="13"/>
      <c r="I24" s="13"/>
      <c r="J24" s="13"/>
      <c r="K24" s="13"/>
      <c r="L24" s="14"/>
      <c r="M24" s="13"/>
      <c r="N24" s="13"/>
    </row>
    <row r="25" spans="1:14" x14ac:dyDescent="0.25">
      <c r="A25" s="12"/>
      <c r="B25" s="13"/>
      <c r="C25" s="13"/>
      <c r="D25" s="13"/>
      <c r="E25" s="12"/>
      <c r="F25" s="12"/>
      <c r="G25" s="12"/>
      <c r="H25" s="13"/>
      <c r="I25" s="13"/>
      <c r="J25" s="13"/>
      <c r="K25" s="13"/>
      <c r="L25" s="14"/>
      <c r="M25" s="13"/>
      <c r="N25" s="13"/>
    </row>
    <row r="26" spans="1:14" x14ac:dyDescent="0.25">
      <c r="A26" s="12"/>
      <c r="B26" s="13"/>
      <c r="C26" s="13"/>
      <c r="D26" s="13"/>
      <c r="E26" s="12"/>
      <c r="F26" s="12"/>
      <c r="G26" s="12"/>
      <c r="H26" s="13"/>
      <c r="I26" s="13"/>
      <c r="J26" s="13"/>
      <c r="K26" s="13"/>
      <c r="L26" s="14"/>
      <c r="M26" s="13"/>
      <c r="N26" s="13"/>
    </row>
    <row r="27" spans="1:14" x14ac:dyDescent="0.25">
      <c r="A27" s="12"/>
      <c r="B27" s="13"/>
      <c r="C27" s="13"/>
      <c r="D27" s="13"/>
      <c r="E27" s="12"/>
      <c r="F27" s="12"/>
      <c r="G27" s="12"/>
      <c r="H27" s="13"/>
      <c r="I27" s="13"/>
      <c r="J27" s="13"/>
      <c r="K27" s="13"/>
      <c r="L27" s="14"/>
      <c r="M27" s="13"/>
      <c r="N27" s="13"/>
    </row>
    <row r="28" spans="1:14" x14ac:dyDescent="0.25">
      <c r="A28" s="12"/>
      <c r="B28" s="13"/>
      <c r="C28" s="13"/>
      <c r="D28" s="13"/>
      <c r="E28" s="12"/>
      <c r="F28" s="12"/>
      <c r="G28" s="12"/>
      <c r="H28" s="13"/>
      <c r="I28" s="13"/>
      <c r="J28" s="13"/>
      <c r="K28" s="13"/>
      <c r="L28" s="14"/>
      <c r="M28" s="13"/>
      <c r="N28" s="13"/>
    </row>
    <row r="29" spans="1:14" x14ac:dyDescent="0.25">
      <c r="A29" s="12"/>
      <c r="B29" s="13"/>
      <c r="C29" s="13"/>
      <c r="D29" s="13"/>
      <c r="E29" s="12"/>
      <c r="F29" s="12"/>
      <c r="G29" s="12"/>
      <c r="H29" s="13"/>
      <c r="I29" s="13"/>
      <c r="J29" s="13"/>
      <c r="K29" s="13"/>
      <c r="L29" s="14"/>
      <c r="M29" s="13"/>
      <c r="N29" s="13"/>
    </row>
    <row r="30" spans="1:14" x14ac:dyDescent="0.25">
      <c r="A30" s="12"/>
      <c r="B30" s="13"/>
      <c r="C30" s="13"/>
      <c r="D30" s="13"/>
      <c r="E30" s="12"/>
      <c r="F30" s="12"/>
      <c r="G30" s="12"/>
      <c r="H30" s="13"/>
      <c r="I30" s="13"/>
      <c r="J30" s="13"/>
      <c r="K30" s="13"/>
      <c r="L30" s="14"/>
      <c r="M30" s="13"/>
      <c r="N30" s="13"/>
    </row>
    <row r="31" spans="1:14" x14ac:dyDescent="0.25">
      <c r="A31" s="12"/>
      <c r="B31" s="13"/>
      <c r="C31" s="13"/>
      <c r="D31" s="13"/>
      <c r="E31" s="12"/>
      <c r="F31" s="12"/>
      <c r="G31" s="12"/>
      <c r="H31" s="13"/>
      <c r="I31" s="13"/>
      <c r="J31" s="13"/>
      <c r="K31" s="13"/>
      <c r="L31" s="14"/>
      <c r="M31" s="13"/>
      <c r="N31" s="13"/>
    </row>
    <row r="32" spans="1:14" x14ac:dyDescent="0.25">
      <c r="A32" s="12"/>
      <c r="B32" s="13"/>
      <c r="C32" s="13"/>
      <c r="D32" s="13"/>
      <c r="E32" s="12"/>
      <c r="F32" s="12"/>
      <c r="G32" s="12"/>
      <c r="H32" s="13"/>
      <c r="I32" s="13"/>
      <c r="J32" s="13"/>
      <c r="K32" s="13"/>
      <c r="L32" s="14"/>
      <c r="M32" s="13"/>
      <c r="N32" s="13"/>
    </row>
    <row r="33" spans="1:14" x14ac:dyDescent="0.25">
      <c r="A33" s="12"/>
      <c r="B33" s="13"/>
      <c r="C33" s="13"/>
      <c r="D33" s="13"/>
      <c r="E33" s="12"/>
      <c r="F33" s="12"/>
      <c r="G33" s="12"/>
      <c r="H33" s="13"/>
      <c r="I33" s="13"/>
      <c r="J33" s="13"/>
      <c r="K33" s="13"/>
      <c r="L33" s="14"/>
      <c r="M33" s="13"/>
      <c r="N33" s="13"/>
    </row>
    <row r="34" spans="1:14" x14ac:dyDescent="0.25">
      <c r="A34" s="12"/>
      <c r="B34" s="13"/>
      <c r="C34" s="13"/>
      <c r="D34" s="13"/>
      <c r="E34" s="12"/>
      <c r="F34" s="12"/>
      <c r="G34" s="12"/>
      <c r="H34" s="13"/>
      <c r="I34" s="13"/>
      <c r="J34" s="13"/>
      <c r="K34" s="13"/>
      <c r="L34" s="14"/>
      <c r="M34" s="13"/>
      <c r="N34" s="13"/>
    </row>
    <row r="35" spans="1:14" x14ac:dyDescent="0.25">
      <c r="A35" s="12"/>
      <c r="B35" s="13"/>
      <c r="C35" s="13"/>
      <c r="D35" s="13"/>
      <c r="E35" s="12"/>
      <c r="F35" s="12"/>
      <c r="G35" s="12"/>
      <c r="H35" s="13"/>
      <c r="I35" s="13"/>
      <c r="J35" s="13"/>
      <c r="K35" s="13"/>
      <c r="L35" s="14"/>
      <c r="M35" s="13"/>
      <c r="N35" s="13"/>
    </row>
    <row r="36" spans="1:14" x14ac:dyDescent="0.25">
      <c r="A36" s="12"/>
      <c r="B36" s="13"/>
      <c r="C36" s="13"/>
      <c r="D36" s="13"/>
      <c r="E36" s="12"/>
      <c r="F36" s="12"/>
      <c r="G36" s="12"/>
      <c r="H36" s="13"/>
      <c r="I36" s="13"/>
      <c r="J36" s="13"/>
      <c r="K36" s="13"/>
      <c r="L36" s="14"/>
      <c r="M36" s="13"/>
      <c r="N36" s="13"/>
    </row>
    <row r="37" spans="1:14" x14ac:dyDescent="0.25">
      <c r="A37" s="12"/>
      <c r="B37" s="13"/>
      <c r="C37" s="13"/>
      <c r="D37" s="13"/>
      <c r="E37" s="12"/>
      <c r="F37" s="12"/>
      <c r="G37" s="12"/>
      <c r="H37" s="13"/>
      <c r="I37" s="13"/>
      <c r="J37" s="13"/>
      <c r="K37" s="13"/>
      <c r="L37" s="14"/>
      <c r="M37" s="13"/>
      <c r="N37" s="13"/>
    </row>
    <row r="38" spans="1:14" x14ac:dyDescent="0.25">
      <c r="A38" s="12"/>
      <c r="B38" s="13"/>
      <c r="C38" s="13"/>
      <c r="D38" s="13"/>
      <c r="E38" s="12"/>
      <c r="F38" s="12"/>
      <c r="G38" s="12"/>
      <c r="H38" s="13"/>
      <c r="I38" s="13"/>
      <c r="J38" s="13"/>
      <c r="K38" s="13"/>
      <c r="L38" s="14"/>
      <c r="M38" s="13"/>
      <c r="N38" s="13"/>
    </row>
    <row r="39" spans="1:14" x14ac:dyDescent="0.25">
      <c r="A39" s="12"/>
      <c r="B39" s="13"/>
      <c r="C39" s="13"/>
      <c r="D39" s="13"/>
      <c r="E39" s="12"/>
      <c r="F39" s="12"/>
      <c r="G39" s="12"/>
      <c r="H39" s="13"/>
      <c r="I39" s="13"/>
      <c r="J39" s="13"/>
      <c r="K39" s="13"/>
      <c r="L39" s="14"/>
      <c r="M39" s="13"/>
      <c r="N39" s="13"/>
    </row>
    <row r="40" spans="1:14" x14ac:dyDescent="0.25">
      <c r="A40" s="12"/>
      <c r="B40" s="13"/>
      <c r="C40" s="13"/>
      <c r="D40" s="13"/>
      <c r="E40" s="12"/>
      <c r="F40" s="12"/>
      <c r="G40" s="12"/>
      <c r="H40" s="13"/>
      <c r="I40" s="13"/>
      <c r="J40" s="13"/>
      <c r="K40" s="13"/>
      <c r="L40" s="14"/>
      <c r="M40" s="13"/>
      <c r="N40" s="13"/>
    </row>
    <row r="41" spans="1:14" x14ac:dyDescent="0.25">
      <c r="A41" s="12"/>
      <c r="B41" s="13"/>
      <c r="C41" s="13"/>
      <c r="D41" s="13"/>
      <c r="E41" s="12"/>
      <c r="F41" s="12"/>
      <c r="G41" s="12"/>
      <c r="H41" s="13"/>
      <c r="I41" s="13"/>
      <c r="J41" s="13"/>
      <c r="K41" s="13"/>
      <c r="L41" s="14"/>
      <c r="M41" s="13"/>
      <c r="N41" s="13"/>
    </row>
    <row r="42" spans="1:14" x14ac:dyDescent="0.25">
      <c r="A42" s="12"/>
      <c r="B42" s="13"/>
      <c r="C42" s="13"/>
      <c r="D42" s="13"/>
      <c r="E42" s="12"/>
      <c r="F42" s="12"/>
      <c r="G42" s="12"/>
      <c r="H42" s="13"/>
      <c r="I42" s="13"/>
      <c r="J42" s="13"/>
      <c r="K42" s="13"/>
      <c r="L42" s="14"/>
      <c r="M42" s="13"/>
      <c r="N42" s="13"/>
    </row>
    <row r="43" spans="1:14" x14ac:dyDescent="0.25">
      <c r="A43" s="12"/>
      <c r="B43" s="13"/>
      <c r="C43" s="13"/>
      <c r="D43" s="13"/>
      <c r="E43" s="12"/>
      <c r="F43" s="12"/>
      <c r="G43" s="12"/>
      <c r="H43" s="13"/>
      <c r="I43" s="13"/>
      <c r="J43" s="13"/>
      <c r="K43" s="13"/>
      <c r="L43" s="14"/>
      <c r="M43" s="13"/>
      <c r="N43" s="13"/>
    </row>
    <row r="44" spans="1:14" x14ac:dyDescent="0.25">
      <c r="A44" s="12"/>
      <c r="B44" s="13"/>
      <c r="C44" s="13"/>
      <c r="D44" s="13"/>
      <c r="E44" s="12"/>
      <c r="F44" s="12"/>
      <c r="G44" s="12"/>
      <c r="H44" s="13"/>
      <c r="I44" s="13"/>
      <c r="J44" s="13"/>
      <c r="K44" s="13"/>
      <c r="L44" s="14"/>
      <c r="M44" s="13"/>
      <c r="N44" s="13"/>
    </row>
    <row r="45" spans="1:14" x14ac:dyDescent="0.25">
      <c r="A45" s="12"/>
      <c r="B45" s="13"/>
      <c r="C45" s="13"/>
      <c r="D45" s="13"/>
      <c r="E45" s="12"/>
      <c r="F45" s="12"/>
      <c r="G45" s="12"/>
      <c r="H45" s="13"/>
      <c r="I45" s="13"/>
      <c r="J45" s="13"/>
      <c r="K45" s="13"/>
      <c r="L45" s="14"/>
      <c r="M45" s="13"/>
      <c r="N45" s="13"/>
    </row>
    <row r="46" spans="1:14" x14ac:dyDescent="0.25">
      <c r="A46" s="12"/>
      <c r="B46" s="13"/>
      <c r="C46" s="13"/>
      <c r="D46" s="13"/>
      <c r="E46" s="12"/>
      <c r="F46" s="12"/>
      <c r="G46" s="12"/>
      <c r="H46" s="13"/>
      <c r="I46" s="13"/>
      <c r="J46" s="13"/>
      <c r="K46" s="13"/>
      <c r="L46" s="14"/>
      <c r="M46" s="13"/>
      <c r="N46" s="13"/>
    </row>
    <row r="47" spans="1:14" x14ac:dyDescent="0.25">
      <c r="A47" s="12"/>
      <c r="B47" s="13"/>
      <c r="C47" s="13"/>
      <c r="D47" s="13"/>
      <c r="E47" s="12"/>
      <c r="F47" s="12"/>
      <c r="G47" s="12"/>
      <c r="H47" s="13"/>
      <c r="I47" s="13"/>
      <c r="J47" s="13"/>
      <c r="K47" s="13"/>
      <c r="L47" s="14"/>
      <c r="M47" s="13"/>
      <c r="N47" s="13"/>
    </row>
    <row r="48" spans="1:14" x14ac:dyDescent="0.25">
      <c r="A48" s="12"/>
      <c r="B48" s="13"/>
      <c r="C48" s="13"/>
      <c r="D48" s="13"/>
      <c r="E48" s="12"/>
      <c r="F48" s="12"/>
      <c r="G48" s="12"/>
      <c r="H48" s="13"/>
      <c r="I48" s="13"/>
      <c r="J48" s="13"/>
      <c r="K48" s="13"/>
      <c r="L48" s="14"/>
      <c r="M48" s="13"/>
      <c r="N48" s="13"/>
    </row>
    <row r="49" spans="1:14" x14ac:dyDescent="0.25">
      <c r="A49" s="12"/>
      <c r="B49" s="13"/>
      <c r="C49" s="13"/>
      <c r="D49" s="13"/>
      <c r="E49" s="12"/>
      <c r="F49" s="12"/>
      <c r="G49" s="12"/>
      <c r="H49" s="13"/>
      <c r="I49" s="13"/>
      <c r="J49" s="13"/>
      <c r="K49" s="13"/>
      <c r="L49" s="14"/>
      <c r="M49" s="13"/>
      <c r="N49" s="13"/>
    </row>
    <row r="50" spans="1:14" x14ac:dyDescent="0.25">
      <c r="A50" s="12"/>
      <c r="B50" s="13"/>
      <c r="C50" s="13"/>
      <c r="D50" s="13"/>
      <c r="E50" s="12"/>
      <c r="F50" s="12"/>
      <c r="G50" s="12"/>
      <c r="H50" s="13"/>
      <c r="I50" s="13"/>
      <c r="J50" s="13"/>
      <c r="K50" s="13"/>
      <c r="L50" s="14"/>
      <c r="M50" s="13"/>
      <c r="N50" s="13"/>
    </row>
    <row r="51" spans="1:14" x14ac:dyDescent="0.25">
      <c r="A51" s="12"/>
      <c r="B51" s="13"/>
      <c r="C51" s="13"/>
      <c r="D51" s="13"/>
      <c r="E51" s="12"/>
      <c r="F51" s="12"/>
      <c r="G51" s="12"/>
      <c r="H51" s="13"/>
      <c r="I51" s="13"/>
      <c r="J51" s="13"/>
      <c r="K51" s="13"/>
      <c r="L51" s="14"/>
      <c r="M51" s="13"/>
      <c r="N51" s="13"/>
    </row>
    <row r="52" spans="1:14" x14ac:dyDescent="0.25">
      <c r="A52" s="12"/>
      <c r="B52" s="13"/>
      <c r="C52" s="13"/>
      <c r="D52" s="13"/>
      <c r="E52" s="12"/>
      <c r="F52" s="12"/>
      <c r="G52" s="12"/>
      <c r="H52" s="13"/>
      <c r="I52" s="13"/>
      <c r="J52" s="13"/>
      <c r="K52" s="13"/>
      <c r="L52" s="14"/>
      <c r="M52" s="13"/>
      <c r="N52" s="13"/>
    </row>
    <row r="53" spans="1:14" x14ac:dyDescent="0.25">
      <c r="A53" s="12"/>
      <c r="B53" s="13"/>
      <c r="C53" s="13"/>
      <c r="D53" s="13"/>
      <c r="E53" s="12"/>
      <c r="F53" s="12"/>
      <c r="G53" s="12"/>
      <c r="H53" s="13"/>
      <c r="I53" s="13"/>
      <c r="J53" s="13"/>
      <c r="K53" s="13"/>
      <c r="L53" s="14"/>
      <c r="M53" s="13"/>
      <c r="N53" s="13"/>
    </row>
    <row r="54" spans="1:14" x14ac:dyDescent="0.25">
      <c r="A54" s="12"/>
      <c r="B54" s="13"/>
      <c r="C54" s="13"/>
      <c r="D54" s="13"/>
      <c r="E54" s="12"/>
      <c r="F54" s="12"/>
      <c r="G54" s="12"/>
      <c r="H54" s="13"/>
      <c r="I54" s="13"/>
      <c r="J54" s="13"/>
      <c r="K54" s="13"/>
      <c r="L54" s="14"/>
      <c r="M54" s="13"/>
      <c r="N54" s="13"/>
    </row>
    <row r="55" spans="1:14" x14ac:dyDescent="0.25">
      <c r="A55" s="12"/>
      <c r="B55" s="13"/>
      <c r="C55" s="13"/>
      <c r="D55" s="13"/>
      <c r="E55" s="12"/>
      <c r="F55" s="12"/>
      <c r="G55" s="12"/>
      <c r="H55" s="13"/>
      <c r="I55" s="13"/>
      <c r="J55" s="13"/>
      <c r="K55" s="13"/>
      <c r="L55" s="14"/>
      <c r="M55" s="13"/>
      <c r="N55" s="13"/>
    </row>
    <row r="56" spans="1:14" x14ac:dyDescent="0.25">
      <c r="A56" s="12"/>
      <c r="B56" s="13"/>
      <c r="C56" s="13"/>
      <c r="D56" s="13"/>
      <c r="E56" s="12"/>
      <c r="F56" s="12"/>
      <c r="G56" s="12"/>
      <c r="H56" s="13"/>
      <c r="I56" s="13"/>
      <c r="J56" s="13"/>
      <c r="K56" s="13"/>
      <c r="L56" s="14"/>
      <c r="M56" s="13"/>
      <c r="N56" s="13"/>
    </row>
    <row r="57" spans="1:14" x14ac:dyDescent="0.25">
      <c r="A57" s="12"/>
      <c r="B57" s="13"/>
      <c r="C57" s="13"/>
      <c r="D57" s="13"/>
      <c r="E57" s="12"/>
      <c r="F57" s="12"/>
      <c r="G57" s="12"/>
      <c r="H57" s="13"/>
      <c r="I57" s="13"/>
      <c r="J57" s="13"/>
      <c r="K57" s="13"/>
      <c r="L57" s="14"/>
      <c r="M57" s="13"/>
      <c r="N57" s="13"/>
    </row>
    <row r="58" spans="1:14" x14ac:dyDescent="0.25">
      <c r="A58" s="12"/>
      <c r="B58" s="13"/>
      <c r="C58" s="13"/>
      <c r="D58" s="13"/>
      <c r="E58" s="12"/>
      <c r="F58" s="12"/>
      <c r="G58" s="12"/>
      <c r="H58" s="13"/>
      <c r="I58" s="13"/>
      <c r="J58" s="13"/>
      <c r="K58" s="13"/>
      <c r="L58" s="14"/>
      <c r="M58" s="13"/>
      <c r="N58" s="13"/>
    </row>
    <row r="59" spans="1:14" x14ac:dyDescent="0.25">
      <c r="A59" s="12"/>
      <c r="B59" s="13"/>
      <c r="C59" s="13"/>
      <c r="D59" s="13"/>
      <c r="E59" s="12"/>
      <c r="F59" s="12"/>
      <c r="G59" s="12"/>
      <c r="H59" s="13"/>
      <c r="I59" s="13"/>
      <c r="J59" s="13"/>
      <c r="K59" s="13"/>
      <c r="L59" s="14"/>
      <c r="M59" s="13"/>
      <c r="N59" s="13"/>
    </row>
    <row r="60" spans="1:14" x14ac:dyDescent="0.25">
      <c r="A60" s="12"/>
      <c r="B60" s="13"/>
      <c r="C60" s="13"/>
      <c r="D60" s="13"/>
      <c r="E60" s="12"/>
      <c r="F60" s="12"/>
      <c r="G60" s="12"/>
      <c r="H60" s="13"/>
      <c r="I60" s="13"/>
      <c r="J60" s="13"/>
      <c r="K60" s="13"/>
      <c r="L60" s="14"/>
      <c r="M60" s="13"/>
      <c r="N60" s="13"/>
    </row>
    <row r="61" spans="1:14" x14ac:dyDescent="0.25">
      <c r="A61" s="12"/>
      <c r="B61" s="13"/>
      <c r="C61" s="13"/>
      <c r="D61" s="13"/>
      <c r="E61" s="12"/>
      <c r="F61" s="12"/>
      <c r="G61" s="12"/>
      <c r="H61" s="13"/>
      <c r="I61" s="13"/>
      <c r="J61" s="13"/>
      <c r="K61" s="13"/>
      <c r="L61" s="14"/>
      <c r="M61" s="13"/>
      <c r="N61" s="13"/>
    </row>
    <row r="62" spans="1:14" x14ac:dyDescent="0.25">
      <c r="A62" s="12"/>
      <c r="B62" s="13"/>
      <c r="C62" s="13"/>
      <c r="D62" s="13"/>
      <c r="E62" s="12"/>
      <c r="F62" s="12"/>
      <c r="G62" s="12"/>
      <c r="H62" s="13"/>
      <c r="I62" s="13"/>
      <c r="J62" s="13"/>
      <c r="K62" s="13"/>
      <c r="L62" s="14"/>
      <c r="M62" s="13"/>
      <c r="N62" s="13"/>
    </row>
    <row r="63" spans="1:14" x14ac:dyDescent="0.25">
      <c r="A63" s="12"/>
      <c r="B63" s="13"/>
      <c r="C63" s="13"/>
      <c r="D63" s="13"/>
      <c r="E63" s="12"/>
      <c r="F63" s="12"/>
      <c r="G63" s="12"/>
      <c r="H63" s="13"/>
      <c r="I63" s="13"/>
      <c r="J63" s="13"/>
      <c r="K63" s="13"/>
      <c r="L63" s="14"/>
      <c r="M63" s="13"/>
      <c r="N63" s="13"/>
    </row>
    <row r="64" spans="1:14" x14ac:dyDescent="0.25">
      <c r="A64" s="12"/>
      <c r="B64" s="13"/>
      <c r="C64" s="13"/>
      <c r="D64" s="13"/>
      <c r="E64" s="12"/>
      <c r="F64" s="12"/>
      <c r="G64" s="12"/>
      <c r="H64" s="13"/>
      <c r="I64" s="13"/>
      <c r="J64" s="13"/>
      <c r="K64" s="13"/>
      <c r="L64" s="14"/>
      <c r="M64" s="13"/>
      <c r="N64" s="13"/>
    </row>
    <row r="65" spans="1:14" x14ac:dyDescent="0.25">
      <c r="A65" s="12"/>
      <c r="B65" s="13"/>
      <c r="C65" s="13"/>
      <c r="D65" s="13"/>
      <c r="E65" s="12"/>
      <c r="F65" s="12"/>
      <c r="G65" s="12"/>
      <c r="H65" s="13"/>
      <c r="I65" s="13"/>
      <c r="J65" s="13"/>
      <c r="K65" s="13"/>
      <c r="L65" s="14"/>
      <c r="M65" s="13"/>
      <c r="N65" s="13"/>
    </row>
    <row r="66" spans="1:14" x14ac:dyDescent="0.25">
      <c r="A66" s="12"/>
      <c r="B66" s="13"/>
      <c r="C66" s="13"/>
      <c r="D66" s="13"/>
      <c r="E66" s="12"/>
      <c r="F66" s="12"/>
      <c r="G66" s="12"/>
      <c r="H66" s="13"/>
      <c r="I66" s="13"/>
      <c r="J66" s="13"/>
      <c r="K66" s="13"/>
      <c r="L66" s="14"/>
      <c r="M66" s="13"/>
      <c r="N66" s="13"/>
    </row>
    <row r="67" spans="1:14" x14ac:dyDescent="0.25">
      <c r="A67" s="12"/>
      <c r="B67" s="13"/>
      <c r="C67" s="13"/>
      <c r="D67" s="13"/>
      <c r="E67" s="12"/>
      <c r="F67" s="12"/>
      <c r="G67" s="12"/>
      <c r="H67" s="13"/>
      <c r="I67" s="13"/>
      <c r="J67" s="13"/>
      <c r="K67" s="13"/>
      <c r="L67" s="14"/>
      <c r="M67" s="13"/>
      <c r="N67" s="13"/>
    </row>
    <row r="68" spans="1:14" x14ac:dyDescent="0.25">
      <c r="A68" s="12"/>
      <c r="B68" s="13"/>
      <c r="C68" s="13"/>
      <c r="D68" s="13"/>
      <c r="E68" s="12"/>
      <c r="F68" s="12"/>
      <c r="G68" s="12"/>
      <c r="H68" s="13"/>
      <c r="I68" s="13"/>
      <c r="J68" s="13"/>
      <c r="K68" s="13"/>
      <c r="L68" s="14"/>
      <c r="M68" s="13"/>
      <c r="N68" s="13"/>
    </row>
    <row r="69" spans="1:14" x14ac:dyDescent="0.25">
      <c r="A69" s="12"/>
      <c r="B69" s="13"/>
      <c r="C69" s="13"/>
      <c r="D69" s="13"/>
      <c r="E69" s="12"/>
      <c r="F69" s="12"/>
      <c r="G69" s="12"/>
      <c r="H69" s="13"/>
      <c r="I69" s="13"/>
      <c r="J69" s="13"/>
      <c r="K69" s="13"/>
      <c r="L69" s="14"/>
      <c r="M69" s="13"/>
      <c r="N69" s="13"/>
    </row>
    <row r="70" spans="1:14" x14ac:dyDescent="0.25">
      <c r="A70" s="12"/>
      <c r="B70" s="13"/>
      <c r="C70" s="13"/>
      <c r="D70" s="13"/>
      <c r="E70" s="12"/>
      <c r="F70" s="12"/>
      <c r="G70" s="12"/>
      <c r="H70" s="13"/>
      <c r="I70" s="13"/>
      <c r="J70" s="13"/>
      <c r="K70" s="13"/>
      <c r="L70" s="14"/>
      <c r="M70" s="13"/>
      <c r="N70" s="13"/>
    </row>
    <row r="71" spans="1:14" x14ac:dyDescent="0.25">
      <c r="A71" s="12"/>
      <c r="B71" s="13"/>
      <c r="C71" s="13"/>
      <c r="D71" s="13"/>
      <c r="E71" s="12"/>
      <c r="F71" s="12"/>
      <c r="G71" s="12"/>
      <c r="H71" s="13"/>
      <c r="I71" s="13"/>
      <c r="J71" s="13"/>
      <c r="K71" s="13"/>
      <c r="L71" s="14"/>
      <c r="M71" s="13"/>
      <c r="N71" s="13"/>
    </row>
    <row r="72" spans="1:14" x14ac:dyDescent="0.25">
      <c r="A72" s="12"/>
      <c r="B72" s="13"/>
      <c r="C72" s="13"/>
      <c r="D72" s="13"/>
      <c r="E72" s="12"/>
      <c r="F72" s="12"/>
      <c r="G72" s="12"/>
      <c r="H72" s="13"/>
      <c r="I72" s="13"/>
      <c r="J72" s="13"/>
      <c r="K72" s="13"/>
      <c r="L72" s="14"/>
      <c r="M72" s="13"/>
      <c r="N72" s="13"/>
    </row>
    <row r="73" spans="1:14" x14ac:dyDescent="0.25">
      <c r="A73" s="12"/>
      <c r="B73" s="13"/>
      <c r="C73" s="13"/>
      <c r="D73" s="13"/>
      <c r="E73" s="12"/>
      <c r="F73" s="12"/>
      <c r="G73" s="12"/>
      <c r="H73" s="13"/>
      <c r="I73" s="13"/>
      <c r="J73" s="13"/>
      <c r="K73" s="13"/>
      <c r="L73" s="14"/>
      <c r="M73" s="13"/>
      <c r="N73" s="13"/>
    </row>
    <row r="74" spans="1:14" x14ac:dyDescent="0.25">
      <c r="A74" s="12"/>
      <c r="B74" s="13"/>
      <c r="C74" s="13"/>
      <c r="D74" s="13"/>
      <c r="E74" s="12"/>
      <c r="F74" s="12"/>
      <c r="G74" s="12"/>
      <c r="H74" s="13"/>
      <c r="I74" s="13"/>
      <c r="J74" s="13"/>
      <c r="K74" s="13"/>
      <c r="L74" s="14"/>
      <c r="M74" s="13"/>
      <c r="N74" s="13"/>
    </row>
    <row r="75" spans="1:14" x14ac:dyDescent="0.25">
      <c r="A75" s="12"/>
      <c r="B75" s="13"/>
      <c r="C75" s="13"/>
      <c r="D75" s="13"/>
      <c r="E75" s="12"/>
      <c r="F75" s="12"/>
      <c r="G75" s="12"/>
      <c r="H75" s="13"/>
      <c r="I75" s="13"/>
      <c r="J75" s="13"/>
      <c r="K75" s="13"/>
      <c r="L75" s="14"/>
      <c r="M75" s="13"/>
      <c r="N75" s="13"/>
    </row>
    <row r="76" spans="1:14" x14ac:dyDescent="0.25">
      <c r="A76" s="12"/>
      <c r="B76" s="13"/>
      <c r="C76" s="13"/>
      <c r="D76" s="13"/>
      <c r="E76" s="12"/>
      <c r="F76" s="12"/>
      <c r="G76" s="12"/>
      <c r="H76" s="13"/>
      <c r="I76" s="13"/>
      <c r="J76" s="13"/>
      <c r="K76" s="13"/>
      <c r="L76" s="14"/>
      <c r="M76" s="13"/>
      <c r="N76" s="13"/>
    </row>
    <row r="77" spans="1:14" x14ac:dyDescent="0.25">
      <c r="A77" s="12"/>
      <c r="B77" s="13"/>
      <c r="C77" s="13"/>
      <c r="D77" s="13"/>
      <c r="E77" s="12"/>
      <c r="F77" s="12"/>
      <c r="G77" s="12"/>
      <c r="H77" s="13"/>
      <c r="I77" s="13"/>
      <c r="J77" s="13"/>
      <c r="K77" s="13"/>
      <c r="L77" s="14"/>
      <c r="M77" s="13"/>
      <c r="N77" s="13"/>
    </row>
    <row r="78" spans="1:14" x14ac:dyDescent="0.25">
      <c r="A78" s="12"/>
      <c r="B78" s="13"/>
      <c r="C78" s="13"/>
      <c r="D78" s="13"/>
      <c r="E78" s="12"/>
      <c r="F78" s="12"/>
      <c r="G78" s="12"/>
      <c r="H78" s="13"/>
      <c r="I78" s="13"/>
      <c r="J78" s="13"/>
      <c r="K78" s="13"/>
      <c r="L78" s="14"/>
      <c r="M78" s="13"/>
      <c r="N78" s="13"/>
    </row>
    <row r="79" spans="1:14" x14ac:dyDescent="0.25">
      <c r="A79" s="12"/>
      <c r="B79" s="13"/>
      <c r="C79" s="13"/>
      <c r="D79" s="13"/>
      <c r="E79" s="12"/>
      <c r="F79" s="12"/>
      <c r="G79" s="12"/>
      <c r="H79" s="13"/>
      <c r="I79" s="13"/>
      <c r="J79" s="13"/>
      <c r="K79" s="13"/>
      <c r="L79" s="14"/>
      <c r="M79" s="13"/>
      <c r="N79" s="13"/>
    </row>
    <row r="80" spans="1:14" x14ac:dyDescent="0.25">
      <c r="A80" s="12"/>
      <c r="B80" s="13"/>
      <c r="C80" s="13"/>
      <c r="D80" s="13"/>
      <c r="E80" s="12"/>
      <c r="F80" s="12"/>
      <c r="G80" s="12"/>
      <c r="H80" s="13"/>
      <c r="I80" s="13"/>
      <c r="J80" s="13"/>
      <c r="K80" s="13"/>
      <c r="L80" s="14"/>
      <c r="M80" s="13"/>
      <c r="N80" s="13"/>
    </row>
    <row r="81" spans="1:14" x14ac:dyDescent="0.25">
      <c r="A81" s="12"/>
      <c r="B81" s="13"/>
      <c r="C81" s="13"/>
      <c r="D81" s="13"/>
      <c r="E81" s="12"/>
      <c r="F81" s="12"/>
      <c r="G81" s="12"/>
      <c r="H81" s="13"/>
      <c r="I81" s="13"/>
      <c r="J81" s="13"/>
      <c r="K81" s="13"/>
      <c r="L81" s="14"/>
      <c r="M81" s="13"/>
      <c r="N81" s="13"/>
    </row>
    <row r="82" spans="1:14" x14ac:dyDescent="0.25">
      <c r="A82" s="12"/>
      <c r="B82" s="13"/>
      <c r="C82" s="13"/>
      <c r="D82" s="13"/>
      <c r="E82" s="12"/>
      <c r="F82" s="12"/>
      <c r="G82" s="12"/>
      <c r="H82" s="13"/>
      <c r="I82" s="13"/>
      <c r="J82" s="13"/>
      <c r="K82" s="13"/>
      <c r="L82" s="14"/>
      <c r="M82" s="13"/>
      <c r="N82" s="13"/>
    </row>
  </sheetData>
  <mergeCells count="1">
    <mergeCell ref="A1:N1"/>
  </mergeCells>
  <conditionalFormatting sqref="G3:G200">
    <cfRule type="cellIs" dxfId="11" priority="2" operator="equal">
      <formula>"Critical"</formula>
    </cfRule>
    <cfRule type="cellIs" dxfId="10" priority="3" operator="equal">
      <formula>"High"</formula>
    </cfRule>
    <cfRule type="cellIs" dxfId="9" priority="4" operator="equal">
      <formula>"Medium"</formula>
    </cfRule>
    <cfRule type="cellIs" dxfId="8" priority="5" operator="equal">
      <formula>"Low"</formula>
    </cfRule>
  </conditionalFormatting>
  <dataValidations count="5">
    <dataValidation type="list" allowBlank="1" sqref="E3:E200" xr:uid="{00000000-0002-0000-0300-000000000000}">
      <formula1>"2.0,3.0,3.1,4.0"</formula1>
      <formula2>0</formula2>
    </dataValidation>
    <dataValidation type="list" allowBlank="1" sqref="G3:G200" xr:uid="{00000000-0002-0000-0300-000001000000}">
      <formula1>"Critical,High,Medium,Low,None"</formula1>
      <formula2>0</formula2>
    </dataValidation>
    <dataValidation type="list" allowBlank="1" sqref="H3:H200" xr:uid="{00000000-0002-0000-0300-000002000000}">
      <formula1>"Not Affected,Affected,Fixed,Under Investigation"</formula1>
      <formula2>0</formula2>
    </dataValidation>
    <dataValidation type="list" allowBlank="1" sqref="I3:I200" xr:uid="{00000000-0002-0000-0300-000003000000}">
      <formula1>"component_not_present,vulnerable_code_not_present,vulnerable_code_not_in_execute_path,vulnerable_code_cannot_be_controlled_by_adversary,inline_mitigations_already_exist"</formula1>
      <formula2>0</formula2>
    </dataValidation>
    <dataValidation type="list" allowBlank="1" sqref="M3:M200" xr:uid="{00000000-0002-0000-0300-000004000000}">
      <formula1>"Open,In Progress,Resolved,Risk Accepted"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2"/>
  <sheetViews>
    <sheetView showGridLines="0" zoomScaleNormal="100" workbookViewId="0">
      <pane ySplit="2" topLeftCell="A3" activePane="bottomLeft" state="frozen"/>
      <selection pane="bottomLeft" activeCell="I3" sqref="I3"/>
    </sheetView>
  </sheetViews>
  <sheetFormatPr defaultColWidth="8.5703125" defaultRowHeight="15" x14ac:dyDescent="0.25"/>
  <cols>
    <col min="1" max="1" width="6" customWidth="1"/>
    <col min="2" max="2" width="22" customWidth="1"/>
    <col min="3" max="3" width="14" customWidth="1"/>
    <col min="4" max="4" width="22" customWidth="1"/>
    <col min="5" max="5" width="18" customWidth="1"/>
    <col min="6" max="7" width="13" customWidth="1"/>
    <col min="8" max="8" width="12" customWidth="1"/>
    <col min="9" max="9" width="16" customWidth="1"/>
    <col min="10" max="10" width="30" customWidth="1"/>
    <col min="11" max="11" width="26" customWidth="1"/>
    <col min="12" max="12" width="18" customWidth="1"/>
    <col min="13" max="14" width="14" customWidth="1"/>
  </cols>
  <sheetData>
    <row r="1" spans="1:14" ht="24" customHeight="1" x14ac:dyDescent="0.25">
      <c r="A1" s="18" t="s">
        <v>142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9.75" customHeight="1" x14ac:dyDescent="0.25">
      <c r="A2" s="3" t="s">
        <v>82</v>
      </c>
      <c r="B2" s="3" t="s">
        <v>18</v>
      </c>
      <c r="C2" s="3" t="s">
        <v>89</v>
      </c>
      <c r="D2" s="3" t="s">
        <v>143</v>
      </c>
      <c r="E2" s="3" t="s">
        <v>144</v>
      </c>
      <c r="F2" s="3" t="s">
        <v>145</v>
      </c>
      <c r="G2" s="3" t="s">
        <v>146</v>
      </c>
      <c r="H2" s="3" t="s">
        <v>99</v>
      </c>
      <c r="I2" s="3" t="s">
        <v>147</v>
      </c>
      <c r="J2" s="3" t="s">
        <v>148</v>
      </c>
      <c r="K2" s="3" t="s">
        <v>149</v>
      </c>
      <c r="L2" s="3" t="s">
        <v>150</v>
      </c>
      <c r="M2" s="3" t="s">
        <v>151</v>
      </c>
      <c r="N2" s="3" t="s">
        <v>131</v>
      </c>
    </row>
    <row r="3" spans="1:14" s="32" customFormat="1" ht="25.5" x14ac:dyDescent="0.25">
      <c r="A3" s="27" t="s">
        <v>104</v>
      </c>
      <c r="B3" s="28" t="s">
        <v>105</v>
      </c>
      <c r="C3" s="28" t="s">
        <v>106</v>
      </c>
      <c r="D3" s="28" t="s">
        <v>107</v>
      </c>
      <c r="E3" s="28" t="s">
        <v>114</v>
      </c>
      <c r="F3" s="29" t="s">
        <v>115</v>
      </c>
      <c r="G3" s="29" t="s">
        <v>115</v>
      </c>
      <c r="H3" s="30">
        <f t="shared" ref="H3:H34" ca="1" si="0">IF(F3="","",F3-TODAY())</f>
        <v>-1</v>
      </c>
      <c r="I3" s="27" t="s">
        <v>152</v>
      </c>
      <c r="J3" s="28" t="s">
        <v>153</v>
      </c>
      <c r="K3" s="28" t="s">
        <v>154</v>
      </c>
      <c r="L3" s="28" t="s">
        <v>155</v>
      </c>
      <c r="M3" s="31" t="s">
        <v>156</v>
      </c>
      <c r="N3" s="28" t="s">
        <v>157</v>
      </c>
    </row>
    <row r="4" spans="1:14" x14ac:dyDescent="0.25">
      <c r="A4" s="12"/>
      <c r="B4" s="13"/>
      <c r="C4" s="13"/>
      <c r="D4" s="13"/>
      <c r="E4" s="13"/>
      <c r="F4" s="17"/>
      <c r="G4" s="17"/>
      <c r="H4" s="15" t="str">
        <f t="shared" ca="1" si="0"/>
        <v/>
      </c>
      <c r="I4" s="12"/>
      <c r="J4" s="13"/>
      <c r="K4" s="13"/>
      <c r="L4" s="13"/>
      <c r="M4" s="14"/>
      <c r="N4" s="13"/>
    </row>
    <row r="5" spans="1:14" x14ac:dyDescent="0.25">
      <c r="A5" s="12"/>
      <c r="B5" s="13"/>
      <c r="C5" s="13"/>
      <c r="D5" s="13"/>
      <c r="E5" s="13"/>
      <c r="F5" s="17"/>
      <c r="G5" s="17"/>
      <c r="H5" s="15" t="str">
        <f t="shared" ca="1" si="0"/>
        <v/>
      </c>
      <c r="I5" s="12"/>
      <c r="J5" s="13"/>
      <c r="K5" s="13"/>
      <c r="L5" s="13"/>
      <c r="M5" s="14"/>
      <c r="N5" s="13"/>
    </row>
    <row r="6" spans="1:14" x14ac:dyDescent="0.25">
      <c r="A6" s="12"/>
      <c r="B6" s="13"/>
      <c r="C6" s="13"/>
      <c r="D6" s="13"/>
      <c r="E6" s="13"/>
      <c r="F6" s="17"/>
      <c r="G6" s="17"/>
      <c r="H6" s="15" t="str">
        <f t="shared" ca="1" si="0"/>
        <v/>
      </c>
      <c r="I6" s="12"/>
      <c r="J6" s="13"/>
      <c r="K6" s="13"/>
      <c r="L6" s="13"/>
      <c r="M6" s="14"/>
      <c r="N6" s="13"/>
    </row>
    <row r="7" spans="1:14" x14ac:dyDescent="0.25">
      <c r="A7" s="12"/>
      <c r="B7" s="13"/>
      <c r="C7" s="13"/>
      <c r="D7" s="13"/>
      <c r="E7" s="13"/>
      <c r="F7" s="17"/>
      <c r="G7" s="17"/>
      <c r="H7" s="15" t="str">
        <f t="shared" ca="1" si="0"/>
        <v/>
      </c>
      <c r="I7" s="12"/>
      <c r="J7" s="13"/>
      <c r="K7" s="13"/>
      <c r="L7" s="13"/>
      <c r="M7" s="14"/>
      <c r="N7" s="13"/>
    </row>
    <row r="8" spans="1:14" x14ac:dyDescent="0.25">
      <c r="A8" s="12"/>
      <c r="B8" s="13"/>
      <c r="C8" s="13"/>
      <c r="D8" s="13"/>
      <c r="E8" s="13"/>
      <c r="F8" s="17"/>
      <c r="G8" s="17"/>
      <c r="H8" s="15" t="str">
        <f t="shared" ca="1" si="0"/>
        <v/>
      </c>
      <c r="I8" s="12"/>
      <c r="J8" s="13"/>
      <c r="K8" s="13"/>
      <c r="L8" s="13"/>
      <c r="M8" s="14"/>
      <c r="N8" s="13"/>
    </row>
    <row r="9" spans="1:14" x14ac:dyDescent="0.25">
      <c r="A9" s="12"/>
      <c r="B9" s="13"/>
      <c r="C9" s="13"/>
      <c r="D9" s="13"/>
      <c r="E9" s="13"/>
      <c r="F9" s="17"/>
      <c r="G9" s="17"/>
      <c r="H9" s="15" t="str">
        <f t="shared" ca="1" si="0"/>
        <v/>
      </c>
      <c r="I9" s="12"/>
      <c r="J9" s="13"/>
      <c r="K9" s="13"/>
      <c r="L9" s="13"/>
      <c r="M9" s="14"/>
      <c r="N9" s="13"/>
    </row>
    <row r="10" spans="1:14" x14ac:dyDescent="0.25">
      <c r="A10" s="12"/>
      <c r="B10" s="13"/>
      <c r="C10" s="13"/>
      <c r="D10" s="13"/>
      <c r="E10" s="13"/>
      <c r="F10" s="17"/>
      <c r="G10" s="17"/>
      <c r="H10" s="15" t="str">
        <f t="shared" ca="1" si="0"/>
        <v/>
      </c>
      <c r="I10" s="12"/>
      <c r="J10" s="13"/>
      <c r="K10" s="13"/>
      <c r="L10" s="13"/>
      <c r="M10" s="14"/>
      <c r="N10" s="13"/>
    </row>
    <row r="11" spans="1:14" x14ac:dyDescent="0.25">
      <c r="A11" s="12"/>
      <c r="B11" s="13"/>
      <c r="C11" s="13"/>
      <c r="D11" s="13"/>
      <c r="E11" s="13"/>
      <c r="F11" s="17"/>
      <c r="G11" s="17"/>
      <c r="H11" s="15" t="str">
        <f t="shared" ca="1" si="0"/>
        <v/>
      </c>
      <c r="I11" s="12"/>
      <c r="J11" s="13"/>
      <c r="K11" s="13"/>
      <c r="L11" s="13"/>
      <c r="M11" s="14"/>
      <c r="N11" s="13"/>
    </row>
    <row r="12" spans="1:14" x14ac:dyDescent="0.25">
      <c r="A12" s="12"/>
      <c r="B12" s="13"/>
      <c r="C12" s="13"/>
      <c r="D12" s="13"/>
      <c r="E12" s="13"/>
      <c r="F12" s="17"/>
      <c r="G12" s="17"/>
      <c r="H12" s="15" t="str">
        <f t="shared" ca="1" si="0"/>
        <v/>
      </c>
      <c r="I12" s="12"/>
      <c r="J12" s="13"/>
      <c r="K12" s="13"/>
      <c r="L12" s="13"/>
      <c r="M12" s="14"/>
      <c r="N12" s="13"/>
    </row>
    <row r="13" spans="1:14" x14ac:dyDescent="0.25">
      <c r="A13" s="12"/>
      <c r="B13" s="13"/>
      <c r="C13" s="13"/>
      <c r="D13" s="13"/>
      <c r="E13" s="13"/>
      <c r="F13" s="17"/>
      <c r="G13" s="17"/>
      <c r="H13" s="15" t="str">
        <f t="shared" ca="1" si="0"/>
        <v/>
      </c>
      <c r="I13" s="12"/>
      <c r="J13" s="13"/>
      <c r="K13" s="13"/>
      <c r="L13" s="13"/>
      <c r="M13" s="14"/>
      <c r="N13" s="13"/>
    </row>
    <row r="14" spans="1:14" x14ac:dyDescent="0.25">
      <c r="A14" s="12"/>
      <c r="B14" s="13"/>
      <c r="C14" s="13"/>
      <c r="D14" s="13"/>
      <c r="E14" s="13"/>
      <c r="F14" s="17"/>
      <c r="G14" s="17"/>
      <c r="H14" s="15" t="str">
        <f t="shared" ca="1" si="0"/>
        <v/>
      </c>
      <c r="I14" s="12"/>
      <c r="J14" s="13"/>
      <c r="K14" s="13"/>
      <c r="L14" s="13"/>
      <c r="M14" s="14"/>
      <c r="N14" s="13"/>
    </row>
    <row r="15" spans="1:14" x14ac:dyDescent="0.25">
      <c r="A15" s="12"/>
      <c r="B15" s="13"/>
      <c r="C15" s="13"/>
      <c r="D15" s="13"/>
      <c r="E15" s="13"/>
      <c r="F15" s="17"/>
      <c r="G15" s="17"/>
      <c r="H15" s="15" t="str">
        <f t="shared" ca="1" si="0"/>
        <v/>
      </c>
      <c r="I15" s="12"/>
      <c r="J15" s="13"/>
      <c r="K15" s="13"/>
      <c r="L15" s="13"/>
      <c r="M15" s="14"/>
      <c r="N15" s="13"/>
    </row>
    <row r="16" spans="1:14" x14ac:dyDescent="0.25">
      <c r="A16" s="12"/>
      <c r="B16" s="13"/>
      <c r="C16" s="13"/>
      <c r="D16" s="13"/>
      <c r="E16" s="13"/>
      <c r="F16" s="17"/>
      <c r="G16" s="17"/>
      <c r="H16" s="15" t="str">
        <f t="shared" ca="1" si="0"/>
        <v/>
      </c>
      <c r="I16" s="12"/>
      <c r="J16" s="13"/>
      <c r="K16" s="13"/>
      <c r="L16" s="13"/>
      <c r="M16" s="14"/>
      <c r="N16" s="13"/>
    </row>
    <row r="17" spans="1:14" x14ac:dyDescent="0.25">
      <c r="A17" s="12"/>
      <c r="B17" s="13"/>
      <c r="C17" s="13"/>
      <c r="D17" s="13"/>
      <c r="E17" s="13"/>
      <c r="F17" s="17"/>
      <c r="G17" s="17"/>
      <c r="H17" s="15" t="str">
        <f t="shared" ca="1" si="0"/>
        <v/>
      </c>
      <c r="I17" s="12"/>
      <c r="J17" s="13"/>
      <c r="K17" s="13"/>
      <c r="L17" s="13"/>
      <c r="M17" s="14"/>
      <c r="N17" s="13"/>
    </row>
    <row r="18" spans="1:14" x14ac:dyDescent="0.25">
      <c r="A18" s="12"/>
      <c r="B18" s="13"/>
      <c r="C18" s="13"/>
      <c r="D18" s="13"/>
      <c r="E18" s="13"/>
      <c r="F18" s="17"/>
      <c r="G18" s="17"/>
      <c r="H18" s="15" t="str">
        <f t="shared" ca="1" si="0"/>
        <v/>
      </c>
      <c r="I18" s="12"/>
      <c r="J18" s="13"/>
      <c r="K18" s="13"/>
      <c r="L18" s="13"/>
      <c r="M18" s="14"/>
      <c r="N18" s="13"/>
    </row>
    <row r="19" spans="1:14" x14ac:dyDescent="0.25">
      <c r="A19" s="12"/>
      <c r="B19" s="13"/>
      <c r="C19" s="13"/>
      <c r="D19" s="13"/>
      <c r="E19" s="13"/>
      <c r="F19" s="17"/>
      <c r="G19" s="17"/>
      <c r="H19" s="15" t="str">
        <f t="shared" ca="1" si="0"/>
        <v/>
      </c>
      <c r="I19" s="12"/>
      <c r="J19" s="13"/>
      <c r="K19" s="13"/>
      <c r="L19" s="13"/>
      <c r="M19" s="14"/>
      <c r="N19" s="13"/>
    </row>
    <row r="20" spans="1:14" x14ac:dyDescent="0.25">
      <c r="A20" s="12"/>
      <c r="B20" s="13"/>
      <c r="C20" s="13"/>
      <c r="D20" s="13"/>
      <c r="E20" s="13"/>
      <c r="F20" s="17"/>
      <c r="G20" s="17"/>
      <c r="H20" s="15" t="str">
        <f t="shared" ca="1" si="0"/>
        <v/>
      </c>
      <c r="I20" s="12"/>
      <c r="J20" s="13"/>
      <c r="K20" s="13"/>
      <c r="L20" s="13"/>
      <c r="M20" s="14"/>
      <c r="N20" s="13"/>
    </row>
    <row r="21" spans="1:14" x14ac:dyDescent="0.25">
      <c r="A21" s="12"/>
      <c r="B21" s="13"/>
      <c r="C21" s="13"/>
      <c r="D21" s="13"/>
      <c r="E21" s="13"/>
      <c r="F21" s="17"/>
      <c r="G21" s="17"/>
      <c r="H21" s="15" t="str">
        <f t="shared" ca="1" si="0"/>
        <v/>
      </c>
      <c r="I21" s="12"/>
      <c r="J21" s="13"/>
      <c r="K21" s="13"/>
      <c r="L21" s="13"/>
      <c r="M21" s="14"/>
      <c r="N21" s="13"/>
    </row>
    <row r="22" spans="1:14" x14ac:dyDescent="0.25">
      <c r="A22" s="12"/>
      <c r="B22" s="13"/>
      <c r="C22" s="13"/>
      <c r="D22" s="13"/>
      <c r="E22" s="13"/>
      <c r="F22" s="17"/>
      <c r="G22" s="17"/>
      <c r="H22" s="15" t="str">
        <f t="shared" ca="1" si="0"/>
        <v/>
      </c>
      <c r="I22" s="12"/>
      <c r="J22" s="13"/>
      <c r="K22" s="13"/>
      <c r="L22" s="13"/>
      <c r="M22" s="14"/>
      <c r="N22" s="13"/>
    </row>
    <row r="23" spans="1:14" x14ac:dyDescent="0.25">
      <c r="A23" s="12"/>
      <c r="B23" s="13"/>
      <c r="C23" s="13"/>
      <c r="D23" s="13"/>
      <c r="E23" s="13"/>
      <c r="F23" s="17"/>
      <c r="G23" s="17"/>
      <c r="H23" s="15" t="str">
        <f t="shared" ca="1" si="0"/>
        <v/>
      </c>
      <c r="I23" s="12"/>
      <c r="J23" s="13"/>
      <c r="K23" s="13"/>
      <c r="L23" s="13"/>
      <c r="M23" s="14"/>
      <c r="N23" s="13"/>
    </row>
    <row r="24" spans="1:14" x14ac:dyDescent="0.25">
      <c r="A24" s="12"/>
      <c r="B24" s="13"/>
      <c r="C24" s="13"/>
      <c r="D24" s="13"/>
      <c r="E24" s="13"/>
      <c r="F24" s="17"/>
      <c r="G24" s="17"/>
      <c r="H24" s="15" t="str">
        <f t="shared" ca="1" si="0"/>
        <v/>
      </c>
      <c r="I24" s="12"/>
      <c r="J24" s="13"/>
      <c r="K24" s="13"/>
      <c r="L24" s="13"/>
      <c r="M24" s="14"/>
      <c r="N24" s="13"/>
    </row>
    <row r="25" spans="1:14" x14ac:dyDescent="0.25">
      <c r="A25" s="12"/>
      <c r="B25" s="13"/>
      <c r="C25" s="13"/>
      <c r="D25" s="13"/>
      <c r="E25" s="13"/>
      <c r="F25" s="17"/>
      <c r="G25" s="17"/>
      <c r="H25" s="15" t="str">
        <f t="shared" ca="1" si="0"/>
        <v/>
      </c>
      <c r="I25" s="12"/>
      <c r="J25" s="13"/>
      <c r="K25" s="13"/>
      <c r="L25" s="13"/>
      <c r="M25" s="14"/>
      <c r="N25" s="13"/>
    </row>
    <row r="26" spans="1:14" x14ac:dyDescent="0.25">
      <c r="A26" s="12"/>
      <c r="B26" s="13"/>
      <c r="C26" s="13"/>
      <c r="D26" s="13"/>
      <c r="E26" s="13"/>
      <c r="F26" s="17"/>
      <c r="G26" s="17"/>
      <c r="H26" s="15" t="str">
        <f t="shared" ca="1" si="0"/>
        <v/>
      </c>
      <c r="I26" s="12"/>
      <c r="J26" s="13"/>
      <c r="K26" s="13"/>
      <c r="L26" s="13"/>
      <c r="M26" s="14"/>
      <c r="N26" s="13"/>
    </row>
    <row r="27" spans="1:14" x14ac:dyDescent="0.25">
      <c r="A27" s="12"/>
      <c r="B27" s="13"/>
      <c r="C27" s="13"/>
      <c r="D27" s="13"/>
      <c r="E27" s="13"/>
      <c r="F27" s="17"/>
      <c r="G27" s="17"/>
      <c r="H27" s="15" t="str">
        <f t="shared" ca="1" si="0"/>
        <v/>
      </c>
      <c r="I27" s="12"/>
      <c r="J27" s="13"/>
      <c r="K27" s="13"/>
      <c r="L27" s="13"/>
      <c r="M27" s="14"/>
      <c r="N27" s="13"/>
    </row>
    <row r="28" spans="1:14" x14ac:dyDescent="0.25">
      <c r="A28" s="12"/>
      <c r="B28" s="13"/>
      <c r="C28" s="13"/>
      <c r="D28" s="13"/>
      <c r="E28" s="13"/>
      <c r="F28" s="17"/>
      <c r="G28" s="17"/>
      <c r="H28" s="15" t="str">
        <f t="shared" ca="1" si="0"/>
        <v/>
      </c>
      <c r="I28" s="12"/>
      <c r="J28" s="13"/>
      <c r="K28" s="13"/>
      <c r="L28" s="13"/>
      <c r="M28" s="14"/>
      <c r="N28" s="13"/>
    </row>
    <row r="29" spans="1:14" x14ac:dyDescent="0.25">
      <c r="A29" s="12"/>
      <c r="B29" s="13"/>
      <c r="C29" s="13"/>
      <c r="D29" s="13"/>
      <c r="E29" s="13"/>
      <c r="F29" s="17"/>
      <c r="G29" s="17"/>
      <c r="H29" s="15" t="str">
        <f t="shared" ca="1" si="0"/>
        <v/>
      </c>
      <c r="I29" s="12"/>
      <c r="J29" s="13"/>
      <c r="K29" s="13"/>
      <c r="L29" s="13"/>
      <c r="M29" s="14"/>
      <c r="N29" s="13"/>
    </row>
    <row r="30" spans="1:14" x14ac:dyDescent="0.25">
      <c r="A30" s="12"/>
      <c r="B30" s="13"/>
      <c r="C30" s="13"/>
      <c r="D30" s="13"/>
      <c r="E30" s="13"/>
      <c r="F30" s="17"/>
      <c r="G30" s="17"/>
      <c r="H30" s="15" t="str">
        <f t="shared" ca="1" si="0"/>
        <v/>
      </c>
      <c r="I30" s="12"/>
      <c r="J30" s="13"/>
      <c r="K30" s="13"/>
      <c r="L30" s="13"/>
      <c r="M30" s="14"/>
      <c r="N30" s="13"/>
    </row>
    <row r="31" spans="1:14" x14ac:dyDescent="0.25">
      <c r="A31" s="12"/>
      <c r="B31" s="13"/>
      <c r="C31" s="13"/>
      <c r="D31" s="13"/>
      <c r="E31" s="13"/>
      <c r="F31" s="17"/>
      <c r="G31" s="17"/>
      <c r="H31" s="15" t="str">
        <f t="shared" ca="1" si="0"/>
        <v/>
      </c>
      <c r="I31" s="12"/>
      <c r="J31" s="13"/>
      <c r="K31" s="13"/>
      <c r="L31" s="13"/>
      <c r="M31" s="14"/>
      <c r="N31" s="13"/>
    </row>
    <row r="32" spans="1:14" x14ac:dyDescent="0.25">
      <c r="A32" s="12"/>
      <c r="B32" s="13"/>
      <c r="C32" s="13"/>
      <c r="D32" s="13"/>
      <c r="E32" s="13"/>
      <c r="F32" s="17"/>
      <c r="G32" s="17"/>
      <c r="H32" s="15" t="str">
        <f t="shared" ca="1" si="0"/>
        <v/>
      </c>
      <c r="I32" s="12"/>
      <c r="J32" s="13"/>
      <c r="K32" s="13"/>
      <c r="L32" s="13"/>
      <c r="M32" s="14"/>
      <c r="N32" s="13"/>
    </row>
    <row r="33" spans="1:14" x14ac:dyDescent="0.25">
      <c r="A33" s="12"/>
      <c r="B33" s="13"/>
      <c r="C33" s="13"/>
      <c r="D33" s="13"/>
      <c r="E33" s="13"/>
      <c r="F33" s="17"/>
      <c r="G33" s="17"/>
      <c r="H33" s="15" t="str">
        <f t="shared" ca="1" si="0"/>
        <v/>
      </c>
      <c r="I33" s="12"/>
      <c r="J33" s="13"/>
      <c r="K33" s="13"/>
      <c r="L33" s="13"/>
      <c r="M33" s="14"/>
      <c r="N33" s="13"/>
    </row>
    <row r="34" spans="1:14" x14ac:dyDescent="0.25">
      <c r="A34" s="12"/>
      <c r="B34" s="13"/>
      <c r="C34" s="13"/>
      <c r="D34" s="13"/>
      <c r="E34" s="13"/>
      <c r="F34" s="17"/>
      <c r="G34" s="17"/>
      <c r="H34" s="15" t="str">
        <f t="shared" ca="1" si="0"/>
        <v/>
      </c>
      <c r="I34" s="12"/>
      <c r="J34" s="13"/>
      <c r="K34" s="13"/>
      <c r="L34" s="13"/>
      <c r="M34" s="14"/>
      <c r="N34" s="13"/>
    </row>
    <row r="35" spans="1:14" x14ac:dyDescent="0.25">
      <c r="A35" s="12"/>
      <c r="B35" s="13"/>
      <c r="C35" s="13"/>
      <c r="D35" s="13"/>
      <c r="E35" s="13"/>
      <c r="F35" s="17"/>
      <c r="G35" s="17"/>
      <c r="H35" s="15" t="str">
        <f t="shared" ref="H35:H66" ca="1" si="1">IF(F35="","",F35-TODAY())</f>
        <v/>
      </c>
      <c r="I35" s="12"/>
      <c r="J35" s="13"/>
      <c r="K35" s="13"/>
      <c r="L35" s="13"/>
      <c r="M35" s="14"/>
      <c r="N35" s="13"/>
    </row>
    <row r="36" spans="1:14" x14ac:dyDescent="0.25">
      <c r="A36" s="12"/>
      <c r="B36" s="13"/>
      <c r="C36" s="13"/>
      <c r="D36" s="13"/>
      <c r="E36" s="13"/>
      <c r="F36" s="17"/>
      <c r="G36" s="17"/>
      <c r="H36" s="15" t="str">
        <f t="shared" ca="1" si="1"/>
        <v/>
      </c>
      <c r="I36" s="12"/>
      <c r="J36" s="13"/>
      <c r="K36" s="13"/>
      <c r="L36" s="13"/>
      <c r="M36" s="14"/>
      <c r="N36" s="13"/>
    </row>
    <row r="37" spans="1:14" x14ac:dyDescent="0.25">
      <c r="A37" s="12"/>
      <c r="B37" s="13"/>
      <c r="C37" s="13"/>
      <c r="D37" s="13"/>
      <c r="E37" s="13"/>
      <c r="F37" s="17"/>
      <c r="G37" s="17"/>
      <c r="H37" s="15" t="str">
        <f t="shared" ca="1" si="1"/>
        <v/>
      </c>
      <c r="I37" s="12"/>
      <c r="J37" s="13"/>
      <c r="K37" s="13"/>
      <c r="L37" s="13"/>
      <c r="M37" s="14"/>
      <c r="N37" s="13"/>
    </row>
    <row r="38" spans="1:14" x14ac:dyDescent="0.25">
      <c r="A38" s="12"/>
      <c r="B38" s="13"/>
      <c r="C38" s="13"/>
      <c r="D38" s="13"/>
      <c r="E38" s="13"/>
      <c r="F38" s="17"/>
      <c r="G38" s="17"/>
      <c r="H38" s="15" t="str">
        <f t="shared" ca="1" si="1"/>
        <v/>
      </c>
      <c r="I38" s="12"/>
      <c r="J38" s="13"/>
      <c r="K38" s="13"/>
      <c r="L38" s="13"/>
      <c r="M38" s="14"/>
      <c r="N38" s="13"/>
    </row>
    <row r="39" spans="1:14" x14ac:dyDescent="0.25">
      <c r="A39" s="12"/>
      <c r="B39" s="13"/>
      <c r="C39" s="13"/>
      <c r="D39" s="13"/>
      <c r="E39" s="13"/>
      <c r="F39" s="17"/>
      <c r="G39" s="17"/>
      <c r="H39" s="15" t="str">
        <f t="shared" ca="1" si="1"/>
        <v/>
      </c>
      <c r="I39" s="12"/>
      <c r="J39" s="13"/>
      <c r="K39" s="13"/>
      <c r="L39" s="13"/>
      <c r="M39" s="14"/>
      <c r="N39" s="13"/>
    </row>
    <row r="40" spans="1:14" x14ac:dyDescent="0.25">
      <c r="A40" s="12"/>
      <c r="B40" s="13"/>
      <c r="C40" s="13"/>
      <c r="D40" s="13"/>
      <c r="E40" s="13"/>
      <c r="F40" s="17"/>
      <c r="G40" s="17"/>
      <c r="H40" s="15" t="str">
        <f t="shared" ca="1" si="1"/>
        <v/>
      </c>
      <c r="I40" s="12"/>
      <c r="J40" s="13"/>
      <c r="K40" s="13"/>
      <c r="L40" s="13"/>
      <c r="M40" s="14"/>
      <c r="N40" s="13"/>
    </row>
    <row r="41" spans="1:14" x14ac:dyDescent="0.25">
      <c r="A41" s="12"/>
      <c r="B41" s="13"/>
      <c r="C41" s="13"/>
      <c r="D41" s="13"/>
      <c r="E41" s="13"/>
      <c r="F41" s="17"/>
      <c r="G41" s="17"/>
      <c r="H41" s="15" t="str">
        <f t="shared" ca="1" si="1"/>
        <v/>
      </c>
      <c r="I41" s="12"/>
      <c r="J41" s="13"/>
      <c r="K41" s="13"/>
      <c r="L41" s="13"/>
      <c r="M41" s="14"/>
      <c r="N41" s="13"/>
    </row>
    <row r="42" spans="1:14" x14ac:dyDescent="0.25">
      <c r="A42" s="12"/>
      <c r="B42" s="13"/>
      <c r="C42" s="13"/>
      <c r="D42" s="13"/>
      <c r="E42" s="13"/>
      <c r="F42" s="17"/>
      <c r="G42" s="17"/>
      <c r="H42" s="15" t="str">
        <f t="shared" ca="1" si="1"/>
        <v/>
      </c>
      <c r="I42" s="12"/>
      <c r="J42" s="13"/>
      <c r="K42" s="13"/>
      <c r="L42" s="13"/>
      <c r="M42" s="14"/>
      <c r="N42" s="13"/>
    </row>
    <row r="43" spans="1:14" x14ac:dyDescent="0.25">
      <c r="A43" s="12"/>
      <c r="B43" s="13"/>
      <c r="C43" s="13"/>
      <c r="D43" s="13"/>
      <c r="E43" s="13"/>
      <c r="F43" s="17"/>
      <c r="G43" s="17"/>
      <c r="H43" s="15" t="str">
        <f t="shared" ca="1" si="1"/>
        <v/>
      </c>
      <c r="I43" s="12"/>
      <c r="J43" s="13"/>
      <c r="K43" s="13"/>
      <c r="L43" s="13"/>
      <c r="M43" s="14"/>
      <c r="N43" s="13"/>
    </row>
    <row r="44" spans="1:14" x14ac:dyDescent="0.25">
      <c r="A44" s="12"/>
      <c r="B44" s="13"/>
      <c r="C44" s="13"/>
      <c r="D44" s="13"/>
      <c r="E44" s="13"/>
      <c r="F44" s="17"/>
      <c r="G44" s="17"/>
      <c r="H44" s="15" t="str">
        <f t="shared" ca="1" si="1"/>
        <v/>
      </c>
      <c r="I44" s="12"/>
      <c r="J44" s="13"/>
      <c r="K44" s="13"/>
      <c r="L44" s="13"/>
      <c r="M44" s="14"/>
      <c r="N44" s="13"/>
    </row>
    <row r="45" spans="1:14" x14ac:dyDescent="0.25">
      <c r="A45" s="12"/>
      <c r="B45" s="13"/>
      <c r="C45" s="13"/>
      <c r="D45" s="13"/>
      <c r="E45" s="13"/>
      <c r="F45" s="17"/>
      <c r="G45" s="17"/>
      <c r="H45" s="15" t="str">
        <f t="shared" ca="1" si="1"/>
        <v/>
      </c>
      <c r="I45" s="12"/>
      <c r="J45" s="13"/>
      <c r="K45" s="13"/>
      <c r="L45" s="13"/>
      <c r="M45" s="14"/>
      <c r="N45" s="13"/>
    </row>
    <row r="46" spans="1:14" x14ac:dyDescent="0.25">
      <c r="A46" s="12"/>
      <c r="B46" s="13"/>
      <c r="C46" s="13"/>
      <c r="D46" s="13"/>
      <c r="E46" s="13"/>
      <c r="F46" s="17"/>
      <c r="G46" s="17"/>
      <c r="H46" s="15" t="str">
        <f t="shared" ca="1" si="1"/>
        <v/>
      </c>
      <c r="I46" s="12"/>
      <c r="J46" s="13"/>
      <c r="K46" s="13"/>
      <c r="L46" s="13"/>
      <c r="M46" s="14"/>
      <c r="N46" s="13"/>
    </row>
    <row r="47" spans="1:14" x14ac:dyDescent="0.25">
      <c r="A47" s="12"/>
      <c r="B47" s="13"/>
      <c r="C47" s="13"/>
      <c r="D47" s="13"/>
      <c r="E47" s="13"/>
      <c r="F47" s="17"/>
      <c r="G47" s="17"/>
      <c r="H47" s="15" t="str">
        <f t="shared" ca="1" si="1"/>
        <v/>
      </c>
      <c r="I47" s="12"/>
      <c r="J47" s="13"/>
      <c r="K47" s="13"/>
      <c r="L47" s="13"/>
      <c r="M47" s="14"/>
      <c r="N47" s="13"/>
    </row>
    <row r="48" spans="1:14" x14ac:dyDescent="0.25">
      <c r="A48" s="12"/>
      <c r="B48" s="13"/>
      <c r="C48" s="13"/>
      <c r="D48" s="13"/>
      <c r="E48" s="13"/>
      <c r="F48" s="17"/>
      <c r="G48" s="17"/>
      <c r="H48" s="15" t="str">
        <f t="shared" ca="1" si="1"/>
        <v/>
      </c>
      <c r="I48" s="12"/>
      <c r="J48" s="13"/>
      <c r="K48" s="13"/>
      <c r="L48" s="13"/>
      <c r="M48" s="14"/>
      <c r="N48" s="13"/>
    </row>
    <row r="49" spans="1:14" x14ac:dyDescent="0.25">
      <c r="A49" s="12"/>
      <c r="B49" s="13"/>
      <c r="C49" s="13"/>
      <c r="D49" s="13"/>
      <c r="E49" s="13"/>
      <c r="F49" s="17"/>
      <c r="G49" s="17"/>
      <c r="H49" s="15" t="str">
        <f t="shared" ca="1" si="1"/>
        <v/>
      </c>
      <c r="I49" s="12"/>
      <c r="J49" s="13"/>
      <c r="K49" s="13"/>
      <c r="L49" s="13"/>
      <c r="M49" s="14"/>
      <c r="N49" s="13"/>
    </row>
    <row r="50" spans="1:14" x14ac:dyDescent="0.25">
      <c r="A50" s="12"/>
      <c r="B50" s="13"/>
      <c r="C50" s="13"/>
      <c r="D50" s="13"/>
      <c r="E50" s="13"/>
      <c r="F50" s="17"/>
      <c r="G50" s="17"/>
      <c r="H50" s="15" t="str">
        <f t="shared" ca="1" si="1"/>
        <v/>
      </c>
      <c r="I50" s="12"/>
      <c r="J50" s="13"/>
      <c r="K50" s="13"/>
      <c r="L50" s="13"/>
      <c r="M50" s="14"/>
      <c r="N50" s="13"/>
    </row>
    <row r="51" spans="1:14" x14ac:dyDescent="0.25">
      <c r="A51" s="12"/>
      <c r="B51" s="13"/>
      <c r="C51" s="13"/>
      <c r="D51" s="13"/>
      <c r="E51" s="13"/>
      <c r="F51" s="17"/>
      <c r="G51" s="17"/>
      <c r="H51" s="15" t="str">
        <f t="shared" ca="1" si="1"/>
        <v/>
      </c>
      <c r="I51" s="12"/>
      <c r="J51" s="13"/>
      <c r="K51" s="13"/>
      <c r="L51" s="13"/>
      <c r="M51" s="14"/>
      <c r="N51" s="13"/>
    </row>
    <row r="52" spans="1:14" x14ac:dyDescent="0.25">
      <c r="A52" s="12"/>
      <c r="B52" s="13"/>
      <c r="C52" s="13"/>
      <c r="D52" s="13"/>
      <c r="E52" s="13"/>
      <c r="F52" s="17"/>
      <c r="G52" s="17"/>
      <c r="H52" s="15" t="str">
        <f t="shared" ca="1" si="1"/>
        <v/>
      </c>
      <c r="I52" s="12"/>
      <c r="J52" s="13"/>
      <c r="K52" s="13"/>
      <c r="L52" s="13"/>
      <c r="M52" s="14"/>
      <c r="N52" s="13"/>
    </row>
    <row r="53" spans="1:14" x14ac:dyDescent="0.25">
      <c r="A53" s="12"/>
      <c r="B53" s="13"/>
      <c r="C53" s="13"/>
      <c r="D53" s="13"/>
      <c r="E53" s="13"/>
      <c r="F53" s="17"/>
      <c r="G53" s="17"/>
      <c r="H53" s="15" t="str">
        <f t="shared" ca="1" si="1"/>
        <v/>
      </c>
      <c r="I53" s="12"/>
      <c r="J53" s="13"/>
      <c r="K53" s="13"/>
      <c r="L53" s="13"/>
      <c r="M53" s="14"/>
      <c r="N53" s="13"/>
    </row>
    <row r="54" spans="1:14" x14ac:dyDescent="0.25">
      <c r="A54" s="12"/>
      <c r="B54" s="13"/>
      <c r="C54" s="13"/>
      <c r="D54" s="13"/>
      <c r="E54" s="13"/>
      <c r="F54" s="17"/>
      <c r="G54" s="17"/>
      <c r="H54" s="15" t="str">
        <f t="shared" ca="1" si="1"/>
        <v/>
      </c>
      <c r="I54" s="12"/>
      <c r="J54" s="13"/>
      <c r="K54" s="13"/>
      <c r="L54" s="13"/>
      <c r="M54" s="14"/>
      <c r="N54" s="13"/>
    </row>
    <row r="55" spans="1:14" x14ac:dyDescent="0.25">
      <c r="A55" s="12"/>
      <c r="B55" s="13"/>
      <c r="C55" s="13"/>
      <c r="D55" s="13"/>
      <c r="E55" s="13"/>
      <c r="F55" s="17"/>
      <c r="G55" s="17"/>
      <c r="H55" s="15" t="str">
        <f t="shared" ca="1" si="1"/>
        <v/>
      </c>
      <c r="I55" s="12"/>
      <c r="J55" s="13"/>
      <c r="K55" s="13"/>
      <c r="L55" s="13"/>
      <c r="M55" s="14"/>
      <c r="N55" s="13"/>
    </row>
    <row r="56" spans="1:14" x14ac:dyDescent="0.25">
      <c r="A56" s="12"/>
      <c r="B56" s="13"/>
      <c r="C56" s="13"/>
      <c r="D56" s="13"/>
      <c r="E56" s="13"/>
      <c r="F56" s="17"/>
      <c r="G56" s="17"/>
      <c r="H56" s="15" t="str">
        <f t="shared" ca="1" si="1"/>
        <v/>
      </c>
      <c r="I56" s="12"/>
      <c r="J56" s="13"/>
      <c r="K56" s="13"/>
      <c r="L56" s="13"/>
      <c r="M56" s="14"/>
      <c r="N56" s="13"/>
    </row>
    <row r="57" spans="1:14" x14ac:dyDescent="0.25">
      <c r="A57" s="12"/>
      <c r="B57" s="13"/>
      <c r="C57" s="13"/>
      <c r="D57" s="13"/>
      <c r="E57" s="13"/>
      <c r="F57" s="17"/>
      <c r="G57" s="17"/>
      <c r="H57" s="15" t="str">
        <f t="shared" ca="1" si="1"/>
        <v/>
      </c>
      <c r="I57" s="12"/>
      <c r="J57" s="13"/>
      <c r="K57" s="13"/>
      <c r="L57" s="13"/>
      <c r="M57" s="14"/>
      <c r="N57" s="13"/>
    </row>
    <row r="58" spans="1:14" x14ac:dyDescent="0.25">
      <c r="A58" s="12"/>
      <c r="B58" s="13"/>
      <c r="C58" s="13"/>
      <c r="D58" s="13"/>
      <c r="E58" s="13"/>
      <c r="F58" s="17"/>
      <c r="G58" s="17"/>
      <c r="H58" s="15" t="str">
        <f t="shared" ca="1" si="1"/>
        <v/>
      </c>
      <c r="I58" s="12"/>
      <c r="J58" s="13"/>
      <c r="K58" s="13"/>
      <c r="L58" s="13"/>
      <c r="M58" s="14"/>
      <c r="N58" s="13"/>
    </row>
    <row r="59" spans="1:14" x14ac:dyDescent="0.25">
      <c r="A59" s="12"/>
      <c r="B59" s="13"/>
      <c r="C59" s="13"/>
      <c r="D59" s="13"/>
      <c r="E59" s="13"/>
      <c r="F59" s="17"/>
      <c r="G59" s="17"/>
      <c r="H59" s="15" t="str">
        <f t="shared" ca="1" si="1"/>
        <v/>
      </c>
      <c r="I59" s="12"/>
      <c r="J59" s="13"/>
      <c r="K59" s="13"/>
      <c r="L59" s="13"/>
      <c r="M59" s="14"/>
      <c r="N59" s="13"/>
    </row>
    <row r="60" spans="1:14" x14ac:dyDescent="0.25">
      <c r="A60" s="12"/>
      <c r="B60" s="13"/>
      <c r="C60" s="13"/>
      <c r="D60" s="13"/>
      <c r="E60" s="13"/>
      <c r="F60" s="17"/>
      <c r="G60" s="17"/>
      <c r="H60" s="15" t="str">
        <f t="shared" ca="1" si="1"/>
        <v/>
      </c>
      <c r="I60" s="12"/>
      <c r="J60" s="13"/>
      <c r="K60" s="13"/>
      <c r="L60" s="13"/>
      <c r="M60" s="14"/>
      <c r="N60" s="13"/>
    </row>
    <row r="61" spans="1:14" x14ac:dyDescent="0.25">
      <c r="A61" s="12"/>
      <c r="B61" s="13"/>
      <c r="C61" s="13"/>
      <c r="D61" s="13"/>
      <c r="E61" s="13"/>
      <c r="F61" s="17"/>
      <c r="G61" s="17"/>
      <c r="H61" s="15" t="str">
        <f t="shared" ca="1" si="1"/>
        <v/>
      </c>
      <c r="I61" s="12"/>
      <c r="J61" s="13"/>
      <c r="K61" s="13"/>
      <c r="L61" s="13"/>
      <c r="M61" s="14"/>
      <c r="N61" s="13"/>
    </row>
    <row r="62" spans="1:14" x14ac:dyDescent="0.25">
      <c r="A62" s="12"/>
      <c r="B62" s="13"/>
      <c r="C62" s="13"/>
      <c r="D62" s="13"/>
      <c r="E62" s="13"/>
      <c r="F62" s="17"/>
      <c r="G62" s="17"/>
      <c r="H62" s="15" t="str">
        <f t="shared" ca="1" si="1"/>
        <v/>
      </c>
      <c r="I62" s="12"/>
      <c r="J62" s="13"/>
      <c r="K62" s="13"/>
      <c r="L62" s="13"/>
      <c r="M62" s="14"/>
      <c r="N62" s="13"/>
    </row>
    <row r="63" spans="1:14" x14ac:dyDescent="0.25">
      <c r="A63" s="12"/>
      <c r="B63" s="13"/>
      <c r="C63" s="13"/>
      <c r="D63" s="13"/>
      <c r="E63" s="13"/>
      <c r="F63" s="17"/>
      <c r="G63" s="17"/>
      <c r="H63" s="15" t="str">
        <f t="shared" ca="1" si="1"/>
        <v/>
      </c>
      <c r="I63" s="12"/>
      <c r="J63" s="13"/>
      <c r="K63" s="13"/>
      <c r="L63" s="13"/>
      <c r="M63" s="14"/>
      <c r="N63" s="13"/>
    </row>
    <row r="64" spans="1:14" x14ac:dyDescent="0.25">
      <c r="A64" s="12"/>
      <c r="B64" s="13"/>
      <c r="C64" s="13"/>
      <c r="D64" s="13"/>
      <c r="E64" s="13"/>
      <c r="F64" s="17"/>
      <c r="G64" s="17"/>
      <c r="H64" s="15" t="str">
        <f t="shared" ca="1" si="1"/>
        <v/>
      </c>
      <c r="I64" s="12"/>
      <c r="J64" s="13"/>
      <c r="K64" s="13"/>
      <c r="L64" s="13"/>
      <c r="M64" s="14"/>
      <c r="N64" s="13"/>
    </row>
    <row r="65" spans="1:14" x14ac:dyDescent="0.25">
      <c r="A65" s="12"/>
      <c r="B65" s="13"/>
      <c r="C65" s="13"/>
      <c r="D65" s="13"/>
      <c r="E65" s="13"/>
      <c r="F65" s="17"/>
      <c r="G65" s="17"/>
      <c r="H65" s="15" t="str">
        <f t="shared" ca="1" si="1"/>
        <v/>
      </c>
      <c r="I65" s="12"/>
      <c r="J65" s="13"/>
      <c r="K65" s="13"/>
      <c r="L65" s="13"/>
      <c r="M65" s="14"/>
      <c r="N65" s="13"/>
    </row>
    <row r="66" spans="1:14" x14ac:dyDescent="0.25">
      <c r="A66" s="12"/>
      <c r="B66" s="13"/>
      <c r="C66" s="13"/>
      <c r="D66" s="13"/>
      <c r="E66" s="13"/>
      <c r="F66" s="17"/>
      <c r="G66" s="17"/>
      <c r="H66" s="15" t="str">
        <f t="shared" ca="1" si="1"/>
        <v/>
      </c>
      <c r="I66" s="12"/>
      <c r="J66" s="13"/>
      <c r="K66" s="13"/>
      <c r="L66" s="13"/>
      <c r="M66" s="14"/>
      <c r="N66" s="13"/>
    </row>
    <row r="67" spans="1:14" x14ac:dyDescent="0.25">
      <c r="A67" s="12"/>
      <c r="B67" s="13"/>
      <c r="C67" s="13"/>
      <c r="D67" s="13"/>
      <c r="E67" s="13"/>
      <c r="F67" s="17"/>
      <c r="G67" s="17"/>
      <c r="H67" s="15" t="str">
        <f t="shared" ref="H67:H82" ca="1" si="2">IF(F67="","",F67-TODAY())</f>
        <v/>
      </c>
      <c r="I67" s="12"/>
      <c r="J67" s="13"/>
      <c r="K67" s="13"/>
      <c r="L67" s="13"/>
      <c r="M67" s="14"/>
      <c r="N67" s="13"/>
    </row>
    <row r="68" spans="1:14" x14ac:dyDescent="0.25">
      <c r="A68" s="12"/>
      <c r="B68" s="13"/>
      <c r="C68" s="13"/>
      <c r="D68" s="13"/>
      <c r="E68" s="13"/>
      <c r="F68" s="17"/>
      <c r="G68" s="17"/>
      <c r="H68" s="15" t="str">
        <f t="shared" ca="1" si="2"/>
        <v/>
      </c>
      <c r="I68" s="12"/>
      <c r="J68" s="13"/>
      <c r="K68" s="13"/>
      <c r="L68" s="13"/>
      <c r="M68" s="14"/>
      <c r="N68" s="13"/>
    </row>
    <row r="69" spans="1:14" x14ac:dyDescent="0.25">
      <c r="A69" s="12"/>
      <c r="B69" s="13"/>
      <c r="C69" s="13"/>
      <c r="D69" s="13"/>
      <c r="E69" s="13"/>
      <c r="F69" s="17"/>
      <c r="G69" s="17"/>
      <c r="H69" s="15" t="str">
        <f t="shared" ca="1" si="2"/>
        <v/>
      </c>
      <c r="I69" s="12"/>
      <c r="J69" s="13"/>
      <c r="K69" s="13"/>
      <c r="L69" s="13"/>
      <c r="M69" s="14"/>
      <c r="N69" s="13"/>
    </row>
    <row r="70" spans="1:14" x14ac:dyDescent="0.25">
      <c r="A70" s="12"/>
      <c r="B70" s="13"/>
      <c r="C70" s="13"/>
      <c r="D70" s="13"/>
      <c r="E70" s="13"/>
      <c r="F70" s="17"/>
      <c r="G70" s="17"/>
      <c r="H70" s="15" t="str">
        <f t="shared" ca="1" si="2"/>
        <v/>
      </c>
      <c r="I70" s="12"/>
      <c r="J70" s="13"/>
      <c r="K70" s="13"/>
      <c r="L70" s="13"/>
      <c r="M70" s="14"/>
      <c r="N70" s="13"/>
    </row>
    <row r="71" spans="1:14" x14ac:dyDescent="0.25">
      <c r="A71" s="12"/>
      <c r="B71" s="13"/>
      <c r="C71" s="13"/>
      <c r="D71" s="13"/>
      <c r="E71" s="13"/>
      <c r="F71" s="17"/>
      <c r="G71" s="17"/>
      <c r="H71" s="15" t="str">
        <f t="shared" ca="1" si="2"/>
        <v/>
      </c>
      <c r="I71" s="12"/>
      <c r="J71" s="13"/>
      <c r="K71" s="13"/>
      <c r="L71" s="13"/>
      <c r="M71" s="14"/>
      <c r="N71" s="13"/>
    </row>
    <row r="72" spans="1:14" x14ac:dyDescent="0.25">
      <c r="A72" s="12"/>
      <c r="B72" s="13"/>
      <c r="C72" s="13"/>
      <c r="D72" s="13"/>
      <c r="E72" s="13"/>
      <c r="F72" s="17"/>
      <c r="G72" s="17"/>
      <c r="H72" s="15" t="str">
        <f t="shared" ca="1" si="2"/>
        <v/>
      </c>
      <c r="I72" s="12"/>
      <c r="J72" s="13"/>
      <c r="K72" s="13"/>
      <c r="L72" s="13"/>
      <c r="M72" s="14"/>
      <c r="N72" s="13"/>
    </row>
    <row r="73" spans="1:14" x14ac:dyDescent="0.25">
      <c r="A73" s="12"/>
      <c r="B73" s="13"/>
      <c r="C73" s="13"/>
      <c r="D73" s="13"/>
      <c r="E73" s="13"/>
      <c r="F73" s="17"/>
      <c r="G73" s="17"/>
      <c r="H73" s="15" t="str">
        <f t="shared" ca="1" si="2"/>
        <v/>
      </c>
      <c r="I73" s="12"/>
      <c r="J73" s="13"/>
      <c r="K73" s="13"/>
      <c r="L73" s="13"/>
      <c r="M73" s="14"/>
      <c r="N73" s="13"/>
    </row>
    <row r="74" spans="1:14" x14ac:dyDescent="0.25">
      <c r="A74" s="12"/>
      <c r="B74" s="13"/>
      <c r="C74" s="13"/>
      <c r="D74" s="13"/>
      <c r="E74" s="13"/>
      <c r="F74" s="17"/>
      <c r="G74" s="17"/>
      <c r="H74" s="15" t="str">
        <f t="shared" ca="1" si="2"/>
        <v/>
      </c>
      <c r="I74" s="12"/>
      <c r="J74" s="13"/>
      <c r="K74" s="13"/>
      <c r="L74" s="13"/>
      <c r="M74" s="14"/>
      <c r="N74" s="13"/>
    </row>
    <row r="75" spans="1:14" x14ac:dyDescent="0.25">
      <c r="A75" s="12"/>
      <c r="B75" s="13"/>
      <c r="C75" s="13"/>
      <c r="D75" s="13"/>
      <c r="E75" s="13"/>
      <c r="F75" s="17"/>
      <c r="G75" s="17"/>
      <c r="H75" s="15" t="str">
        <f t="shared" ca="1" si="2"/>
        <v/>
      </c>
      <c r="I75" s="12"/>
      <c r="J75" s="13"/>
      <c r="K75" s="13"/>
      <c r="L75" s="13"/>
      <c r="M75" s="14"/>
      <c r="N75" s="13"/>
    </row>
    <row r="76" spans="1:14" x14ac:dyDescent="0.25">
      <c r="A76" s="12"/>
      <c r="B76" s="13"/>
      <c r="C76" s="13"/>
      <c r="D76" s="13"/>
      <c r="E76" s="13"/>
      <c r="F76" s="17"/>
      <c r="G76" s="17"/>
      <c r="H76" s="15" t="str">
        <f t="shared" ca="1" si="2"/>
        <v/>
      </c>
      <c r="I76" s="12"/>
      <c r="J76" s="13"/>
      <c r="K76" s="13"/>
      <c r="L76" s="13"/>
      <c r="M76" s="14"/>
      <c r="N76" s="13"/>
    </row>
    <row r="77" spans="1:14" x14ac:dyDescent="0.25">
      <c r="A77" s="12"/>
      <c r="B77" s="13"/>
      <c r="C77" s="13"/>
      <c r="D77" s="13"/>
      <c r="E77" s="13"/>
      <c r="F77" s="17"/>
      <c r="G77" s="17"/>
      <c r="H77" s="15" t="str">
        <f t="shared" ca="1" si="2"/>
        <v/>
      </c>
      <c r="I77" s="12"/>
      <c r="J77" s="13"/>
      <c r="K77" s="13"/>
      <c r="L77" s="13"/>
      <c r="M77" s="14"/>
      <c r="N77" s="13"/>
    </row>
    <row r="78" spans="1:14" x14ac:dyDescent="0.25">
      <c r="A78" s="12"/>
      <c r="B78" s="13"/>
      <c r="C78" s="13"/>
      <c r="D78" s="13"/>
      <c r="E78" s="13"/>
      <c r="F78" s="17"/>
      <c r="G78" s="17"/>
      <c r="H78" s="15" t="str">
        <f t="shared" ca="1" si="2"/>
        <v/>
      </c>
      <c r="I78" s="12"/>
      <c r="J78" s="13"/>
      <c r="K78" s="13"/>
      <c r="L78" s="13"/>
      <c r="M78" s="14"/>
      <c r="N78" s="13"/>
    </row>
    <row r="79" spans="1:14" x14ac:dyDescent="0.25">
      <c r="A79" s="12"/>
      <c r="B79" s="13"/>
      <c r="C79" s="13"/>
      <c r="D79" s="13"/>
      <c r="E79" s="13"/>
      <c r="F79" s="17"/>
      <c r="G79" s="17"/>
      <c r="H79" s="15" t="str">
        <f t="shared" ca="1" si="2"/>
        <v/>
      </c>
      <c r="I79" s="12"/>
      <c r="J79" s="13"/>
      <c r="K79" s="13"/>
      <c r="L79" s="13"/>
      <c r="M79" s="14"/>
      <c r="N79" s="13"/>
    </row>
    <row r="80" spans="1:14" x14ac:dyDescent="0.25">
      <c r="A80" s="12"/>
      <c r="B80" s="13"/>
      <c r="C80" s="13"/>
      <c r="D80" s="13"/>
      <c r="E80" s="13"/>
      <c r="F80" s="17"/>
      <c r="G80" s="17"/>
      <c r="H80" s="15" t="str">
        <f t="shared" ca="1" si="2"/>
        <v/>
      </c>
      <c r="I80" s="12"/>
      <c r="J80" s="13"/>
      <c r="K80" s="13"/>
      <c r="L80" s="13"/>
      <c r="M80" s="14"/>
      <c r="N80" s="13"/>
    </row>
    <row r="81" spans="1:14" x14ac:dyDescent="0.25">
      <c r="A81" s="12"/>
      <c r="B81" s="13"/>
      <c r="C81" s="13"/>
      <c r="D81" s="13"/>
      <c r="E81" s="13"/>
      <c r="F81" s="17"/>
      <c r="G81" s="17"/>
      <c r="H81" s="15" t="str">
        <f t="shared" ca="1" si="2"/>
        <v/>
      </c>
      <c r="I81" s="12"/>
      <c r="J81" s="13"/>
      <c r="K81" s="13"/>
      <c r="L81" s="13"/>
      <c r="M81" s="14"/>
      <c r="N81" s="13"/>
    </row>
    <row r="82" spans="1:14" x14ac:dyDescent="0.25">
      <c r="A82" s="12"/>
      <c r="B82" s="13"/>
      <c r="C82" s="13"/>
      <c r="D82" s="13"/>
      <c r="E82" s="13"/>
      <c r="F82" s="17"/>
      <c r="G82" s="17"/>
      <c r="H82" s="15" t="str">
        <f t="shared" ca="1" si="2"/>
        <v/>
      </c>
      <c r="I82" s="12"/>
      <c r="J82" s="13"/>
      <c r="K82" s="13"/>
      <c r="L82" s="13"/>
      <c r="M82" s="14"/>
      <c r="N82" s="13"/>
    </row>
  </sheetData>
  <mergeCells count="1">
    <mergeCell ref="A1:N1"/>
  </mergeCells>
  <conditionalFormatting sqref="F3:F200">
    <cfRule type="expression" dxfId="7" priority="2">
      <formula>AND($F3&lt;&gt;"",$F3&lt;TODAY())</formula>
    </cfRule>
    <cfRule type="expression" dxfId="6" priority="3">
      <formula>AND($F3&lt;&gt;"",$F3&gt;=TODAY(),$F3-TODAY()&lt;=365)</formula>
    </cfRule>
  </conditionalFormatting>
  <conditionalFormatting sqref="G3:G200">
    <cfRule type="expression" dxfId="5" priority="4">
      <formula>AND($G3&lt;&gt;"",$G3&lt;TODAY())</formula>
    </cfRule>
    <cfRule type="expression" dxfId="4" priority="5">
      <formula>AND($G3&lt;&gt;"",$G3&gt;=TODAY(),$G3-TODAY()&lt;=365)</formula>
    </cfRule>
  </conditionalFormatting>
  <conditionalFormatting sqref="H3:H200">
    <cfRule type="expression" dxfId="3" priority="6">
      <formula>AND(ISNUMBER(H3),H3&lt;0)</formula>
    </cfRule>
    <cfRule type="expression" dxfId="2" priority="7">
      <formula>AND(ISNUMBER(H3),H3&gt;=0,H3&lt;=365)</formula>
    </cfRule>
  </conditionalFormatting>
  <conditionalFormatting sqref="I3:I200">
    <cfRule type="cellIs" dxfId="1" priority="8" operator="equal">
      <formula>"High"</formula>
    </cfRule>
    <cfRule type="cellIs" dxfId="0" priority="9" operator="equal">
      <formula>"Medium"</formula>
    </cfRule>
  </conditionalFormatting>
  <dataValidations count="3">
    <dataValidation type="list" allowBlank="1" sqref="E3:E200" xr:uid="{00000000-0002-0000-0400-000000000000}">
      <formula1>"Actively maintained,No longer maintained,Abandoned,Unknown"</formula1>
      <formula2>0</formula2>
    </dataValidation>
    <dataValidation type="list" allowBlank="1" sqref="I3:I200" xr:uid="{00000000-0002-0000-0400-000001000000}">
      <formula1>"High,Medium,Low"</formula1>
      <formula2>0</formula2>
    </dataValidation>
    <dataValidation type="list" allowBlank="1" sqref="N3:N200" xr:uid="{00000000-0002-0000-0400-000002000000}">
      <formula1>"Planned,In Progress,Complete,Monitoring,Risk Accepted"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SBOM Metadata</vt:lpstr>
      <vt:lpstr>SBOM Components</vt:lpstr>
      <vt:lpstr>Vulnerabilities &amp; VEX</vt:lpstr>
      <vt:lpstr>Lifecycle &amp; Support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Feroze Basha S</cp:lastModifiedBy>
  <cp:revision>0</cp:revision>
  <dcterms:created xsi:type="dcterms:W3CDTF">2026-06-24T07:21:21Z</dcterms:created>
  <dcterms:modified xsi:type="dcterms:W3CDTF">2026-09-08T07:40:26Z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289ebb41-3970-4f7c-a1eb-ae30e3913fcb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  <property fmtid="{D5CDD505-2E9C-101B-9397-08002B2CF9AE}" pid="5" name="MSIP_Label_556dfe78-8a37-4fb5-b4aa-b92b97e18d15_Enabled">
    <vt:lpwstr>true</vt:lpwstr>
  </property>
  <property fmtid="{D5CDD505-2E9C-101B-9397-08002B2CF9AE}" pid="6" name="MSIP_Label_556dfe78-8a37-4fb5-b4aa-b92b97e18d15_SetDate">
    <vt:lpwstr>2026-06-24T07:23:45Z</vt:lpwstr>
  </property>
  <property fmtid="{D5CDD505-2E9C-101B-9397-08002B2CF9AE}" pid="7" name="MSIP_Label_556dfe78-8a37-4fb5-b4aa-b92b97e18d15_Method">
    <vt:lpwstr>Standard</vt:lpwstr>
  </property>
  <property fmtid="{D5CDD505-2E9C-101B-9397-08002B2CF9AE}" pid="8" name="MSIP_Label_556dfe78-8a37-4fb5-b4aa-b92b97e18d15_Name">
    <vt:lpwstr>Internal</vt:lpwstr>
  </property>
  <property fmtid="{D5CDD505-2E9C-101B-9397-08002B2CF9AE}" pid="9" name="MSIP_Label_556dfe78-8a37-4fb5-b4aa-b92b97e18d15_SiteId">
    <vt:lpwstr>189de737-c93a-4f5a-8b68-6f4ca9941912</vt:lpwstr>
  </property>
  <property fmtid="{D5CDD505-2E9C-101B-9397-08002B2CF9AE}" pid="10" name="MSIP_Label_556dfe78-8a37-4fb5-b4aa-b92b97e18d15_ActionId">
    <vt:lpwstr>f9c423a6-8c97-490f-81df-00f514f88662</vt:lpwstr>
  </property>
  <property fmtid="{D5CDD505-2E9C-101B-9397-08002B2CF9AE}" pid="11" name="MSIP_Label_556dfe78-8a37-4fb5-b4aa-b92b97e18d15_ContentBits">
    <vt:lpwstr>1</vt:lpwstr>
  </property>
  <property fmtid="{D5CDD505-2E9C-101B-9397-08002B2CF9AE}" pid="12" name="MSIP_Label_556dfe78-8a37-4fb5-b4aa-b92b97e18d15_Tag">
    <vt:lpwstr>10, 3, 0, 1</vt:lpwstr>
  </property>
</Properties>
</file>