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erozebasha.s\Downloads\"/>
    </mc:Choice>
  </mc:AlternateContent>
  <xr:revisionPtr revIDLastSave="0" documentId="13_ncr:1_{FAE7BF17-2559-4093-BE5B-7357738872AF}" xr6:coauthVersionLast="47" xr6:coauthVersionMax="47" xr10:uidLastSave="{00000000-0000-0000-0000-000000000000}"/>
  <bookViews>
    <workbookView xWindow="-120" yWindow="-120" windowWidth="20730" windowHeight="11040" tabRatio="500" firstSheet="6" activeTab="7" xr2:uid="{00000000-000D-0000-FFFF-FFFF00000000}"/>
  </bookViews>
  <sheets>
    <sheet name="Instructions" sheetId="1" r:id="rId1"/>
    <sheet name="SBOM Metadata" sheetId="2" r:id="rId2"/>
    <sheet name="SBOM Components" sheetId="3" r:id="rId3"/>
    <sheet name="Environment &amp; 3rd-Party Deps" sheetId="4" r:id="rId4"/>
    <sheet name="Vulnerabilities &amp; VEX" sheetId="5" r:id="rId5"/>
    <sheet name="Lifecycle &amp; Support Plan" sheetId="6" r:id="rId6"/>
    <sheet name="Supplier &amp; Security Contacts" sheetId="7" r:id="rId7"/>
    <sheet name="FDA Compliance Dashboard" sheetId="8" r:id="rId8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8" l="1"/>
  <c r="E28" i="8" s="1"/>
  <c r="D27" i="8"/>
  <c r="E27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V6" i="5"/>
  <c r="C42" i="8" s="1"/>
  <c r="V5" i="5"/>
  <c r="C41" i="8" s="1"/>
  <c r="V4" i="5"/>
  <c r="C40" i="8" s="1"/>
  <c r="V3" i="5"/>
  <c r="C39" i="8" s="1"/>
  <c r="V2" i="5"/>
  <c r="C38" i="8" s="1"/>
  <c r="V1" i="5"/>
  <c r="C37" i="8" s="1"/>
  <c r="W500" i="3"/>
  <c r="V500" i="3"/>
  <c r="W499" i="3"/>
  <c r="V499" i="3"/>
  <c r="W498" i="3"/>
  <c r="V498" i="3"/>
  <c r="W497" i="3"/>
  <c r="V497" i="3"/>
  <c r="W496" i="3"/>
  <c r="V496" i="3"/>
  <c r="W495" i="3"/>
  <c r="V495" i="3"/>
  <c r="W494" i="3"/>
  <c r="V494" i="3"/>
  <c r="W493" i="3"/>
  <c r="V493" i="3"/>
  <c r="W492" i="3"/>
  <c r="V492" i="3"/>
  <c r="W491" i="3"/>
  <c r="V491" i="3"/>
  <c r="W490" i="3"/>
  <c r="V490" i="3"/>
  <c r="W489" i="3"/>
  <c r="V489" i="3"/>
  <c r="W488" i="3"/>
  <c r="V488" i="3"/>
  <c r="W487" i="3"/>
  <c r="V487" i="3"/>
  <c r="W486" i="3"/>
  <c r="V486" i="3"/>
  <c r="W485" i="3"/>
  <c r="V485" i="3"/>
  <c r="W484" i="3"/>
  <c r="V484" i="3"/>
  <c r="W483" i="3"/>
  <c r="V483" i="3"/>
  <c r="W482" i="3"/>
  <c r="V482" i="3"/>
  <c r="W481" i="3"/>
  <c r="V481" i="3"/>
  <c r="W480" i="3"/>
  <c r="V480" i="3"/>
  <c r="W479" i="3"/>
  <c r="V479" i="3"/>
  <c r="W478" i="3"/>
  <c r="V478" i="3"/>
  <c r="W477" i="3"/>
  <c r="V477" i="3"/>
  <c r="W476" i="3"/>
  <c r="V476" i="3"/>
  <c r="W475" i="3"/>
  <c r="V475" i="3"/>
  <c r="W474" i="3"/>
  <c r="V474" i="3"/>
  <c r="W473" i="3"/>
  <c r="V473" i="3"/>
  <c r="W472" i="3"/>
  <c r="V472" i="3"/>
  <c r="W471" i="3"/>
  <c r="V471" i="3"/>
  <c r="W470" i="3"/>
  <c r="V470" i="3"/>
  <c r="W469" i="3"/>
  <c r="V469" i="3"/>
  <c r="W468" i="3"/>
  <c r="V468" i="3"/>
  <c r="W467" i="3"/>
  <c r="V467" i="3"/>
  <c r="W466" i="3"/>
  <c r="V466" i="3"/>
  <c r="W465" i="3"/>
  <c r="V465" i="3"/>
  <c r="W464" i="3"/>
  <c r="V464" i="3"/>
  <c r="W463" i="3"/>
  <c r="V463" i="3"/>
  <c r="W462" i="3"/>
  <c r="V462" i="3"/>
  <c r="W461" i="3"/>
  <c r="V461" i="3"/>
  <c r="W460" i="3"/>
  <c r="V460" i="3"/>
  <c r="W459" i="3"/>
  <c r="V459" i="3"/>
  <c r="W458" i="3"/>
  <c r="V458" i="3"/>
  <c r="W457" i="3"/>
  <c r="V457" i="3"/>
  <c r="W456" i="3"/>
  <c r="V456" i="3"/>
  <c r="W455" i="3"/>
  <c r="V455" i="3"/>
  <c r="W454" i="3"/>
  <c r="V454" i="3"/>
  <c r="W453" i="3"/>
  <c r="V453" i="3"/>
  <c r="W452" i="3"/>
  <c r="V452" i="3"/>
  <c r="W451" i="3"/>
  <c r="V451" i="3"/>
  <c r="W450" i="3"/>
  <c r="V450" i="3"/>
  <c r="W449" i="3"/>
  <c r="V449" i="3"/>
  <c r="W448" i="3"/>
  <c r="V448" i="3"/>
  <c r="W447" i="3"/>
  <c r="V447" i="3"/>
  <c r="W446" i="3"/>
  <c r="V446" i="3"/>
  <c r="W445" i="3"/>
  <c r="V445" i="3"/>
  <c r="W444" i="3"/>
  <c r="V444" i="3"/>
  <c r="W443" i="3"/>
  <c r="V443" i="3"/>
  <c r="W442" i="3"/>
  <c r="V442" i="3"/>
  <c r="W441" i="3"/>
  <c r="V441" i="3"/>
  <c r="W440" i="3"/>
  <c r="V440" i="3"/>
  <c r="W439" i="3"/>
  <c r="V439" i="3"/>
  <c r="W438" i="3"/>
  <c r="V438" i="3"/>
  <c r="W437" i="3"/>
  <c r="V437" i="3"/>
  <c r="W436" i="3"/>
  <c r="V436" i="3"/>
  <c r="W435" i="3"/>
  <c r="V435" i="3"/>
  <c r="W434" i="3"/>
  <c r="V434" i="3"/>
  <c r="W433" i="3"/>
  <c r="V433" i="3"/>
  <c r="W432" i="3"/>
  <c r="V432" i="3"/>
  <c r="W431" i="3"/>
  <c r="V431" i="3"/>
  <c r="W430" i="3"/>
  <c r="V430" i="3"/>
  <c r="W429" i="3"/>
  <c r="V429" i="3"/>
  <c r="W428" i="3"/>
  <c r="V428" i="3"/>
  <c r="W427" i="3"/>
  <c r="V427" i="3"/>
  <c r="W426" i="3"/>
  <c r="V426" i="3"/>
  <c r="W425" i="3"/>
  <c r="V425" i="3"/>
  <c r="W424" i="3"/>
  <c r="V424" i="3"/>
  <c r="W423" i="3"/>
  <c r="V423" i="3"/>
  <c r="W422" i="3"/>
  <c r="V422" i="3"/>
  <c r="W421" i="3"/>
  <c r="V421" i="3"/>
  <c r="W420" i="3"/>
  <c r="V420" i="3"/>
  <c r="W419" i="3"/>
  <c r="V419" i="3"/>
  <c r="W418" i="3"/>
  <c r="V418" i="3"/>
  <c r="W417" i="3"/>
  <c r="V417" i="3"/>
  <c r="W416" i="3"/>
  <c r="V416" i="3"/>
  <c r="W415" i="3"/>
  <c r="V415" i="3"/>
  <c r="W414" i="3"/>
  <c r="V414" i="3"/>
  <c r="W413" i="3"/>
  <c r="V413" i="3"/>
  <c r="W412" i="3"/>
  <c r="V412" i="3"/>
  <c r="W411" i="3"/>
  <c r="V411" i="3"/>
  <c r="W410" i="3"/>
  <c r="V410" i="3"/>
  <c r="W409" i="3"/>
  <c r="V409" i="3"/>
  <c r="W408" i="3"/>
  <c r="V408" i="3"/>
  <c r="W407" i="3"/>
  <c r="V407" i="3"/>
  <c r="W406" i="3"/>
  <c r="V406" i="3"/>
  <c r="W405" i="3"/>
  <c r="V405" i="3"/>
  <c r="W404" i="3"/>
  <c r="V404" i="3"/>
  <c r="W403" i="3"/>
  <c r="V403" i="3"/>
  <c r="W402" i="3"/>
  <c r="V402" i="3"/>
  <c r="W401" i="3"/>
  <c r="V401" i="3"/>
  <c r="W400" i="3"/>
  <c r="V400" i="3"/>
  <c r="W399" i="3"/>
  <c r="V399" i="3"/>
  <c r="W398" i="3"/>
  <c r="V398" i="3"/>
  <c r="W397" i="3"/>
  <c r="V397" i="3"/>
  <c r="W396" i="3"/>
  <c r="V396" i="3"/>
  <c r="W395" i="3"/>
  <c r="V395" i="3"/>
  <c r="W394" i="3"/>
  <c r="V394" i="3"/>
  <c r="W393" i="3"/>
  <c r="V393" i="3"/>
  <c r="W392" i="3"/>
  <c r="V392" i="3"/>
  <c r="W391" i="3"/>
  <c r="V391" i="3"/>
  <c r="W390" i="3"/>
  <c r="V390" i="3"/>
  <c r="W389" i="3"/>
  <c r="V389" i="3"/>
  <c r="W388" i="3"/>
  <c r="V388" i="3"/>
  <c r="W387" i="3"/>
  <c r="V387" i="3"/>
  <c r="W386" i="3"/>
  <c r="V386" i="3"/>
  <c r="W385" i="3"/>
  <c r="V385" i="3"/>
  <c r="W384" i="3"/>
  <c r="V384" i="3"/>
  <c r="W383" i="3"/>
  <c r="V383" i="3"/>
  <c r="W382" i="3"/>
  <c r="V382" i="3"/>
  <c r="W381" i="3"/>
  <c r="V381" i="3"/>
  <c r="W380" i="3"/>
  <c r="V380" i="3"/>
  <c r="W379" i="3"/>
  <c r="V379" i="3"/>
  <c r="W378" i="3"/>
  <c r="V378" i="3"/>
  <c r="W377" i="3"/>
  <c r="V377" i="3"/>
  <c r="W376" i="3"/>
  <c r="V376" i="3"/>
  <c r="W375" i="3"/>
  <c r="V375" i="3"/>
  <c r="W374" i="3"/>
  <c r="V374" i="3"/>
  <c r="W373" i="3"/>
  <c r="V373" i="3"/>
  <c r="W372" i="3"/>
  <c r="V372" i="3"/>
  <c r="W371" i="3"/>
  <c r="V371" i="3"/>
  <c r="W370" i="3"/>
  <c r="V370" i="3"/>
  <c r="W369" i="3"/>
  <c r="V369" i="3"/>
  <c r="W368" i="3"/>
  <c r="V368" i="3"/>
  <c r="W367" i="3"/>
  <c r="V367" i="3"/>
  <c r="W366" i="3"/>
  <c r="V366" i="3"/>
  <c r="W365" i="3"/>
  <c r="V365" i="3"/>
  <c r="W364" i="3"/>
  <c r="V364" i="3"/>
  <c r="W363" i="3"/>
  <c r="V363" i="3"/>
  <c r="W362" i="3"/>
  <c r="V362" i="3"/>
  <c r="W361" i="3"/>
  <c r="V361" i="3"/>
  <c r="W360" i="3"/>
  <c r="V360" i="3"/>
  <c r="W359" i="3"/>
  <c r="V359" i="3"/>
  <c r="W358" i="3"/>
  <c r="V358" i="3"/>
  <c r="W357" i="3"/>
  <c r="V357" i="3"/>
  <c r="W356" i="3"/>
  <c r="V356" i="3"/>
  <c r="W355" i="3"/>
  <c r="V355" i="3"/>
  <c r="W354" i="3"/>
  <c r="V354" i="3"/>
  <c r="W353" i="3"/>
  <c r="V353" i="3"/>
  <c r="W352" i="3"/>
  <c r="V352" i="3"/>
  <c r="W351" i="3"/>
  <c r="V351" i="3"/>
  <c r="W350" i="3"/>
  <c r="V350" i="3"/>
  <c r="W349" i="3"/>
  <c r="V349" i="3"/>
  <c r="W348" i="3"/>
  <c r="V348" i="3"/>
  <c r="W347" i="3"/>
  <c r="V347" i="3"/>
  <c r="W346" i="3"/>
  <c r="V346" i="3"/>
  <c r="W345" i="3"/>
  <c r="V345" i="3"/>
  <c r="W344" i="3"/>
  <c r="V344" i="3"/>
  <c r="W343" i="3"/>
  <c r="V343" i="3"/>
  <c r="W342" i="3"/>
  <c r="V342" i="3"/>
  <c r="W341" i="3"/>
  <c r="V341" i="3"/>
  <c r="W340" i="3"/>
  <c r="V340" i="3"/>
  <c r="W339" i="3"/>
  <c r="V339" i="3"/>
  <c r="W338" i="3"/>
  <c r="V338" i="3"/>
  <c r="W337" i="3"/>
  <c r="V337" i="3"/>
  <c r="W336" i="3"/>
  <c r="V336" i="3"/>
  <c r="W335" i="3"/>
  <c r="V335" i="3"/>
  <c r="W334" i="3"/>
  <c r="V334" i="3"/>
  <c r="W333" i="3"/>
  <c r="V333" i="3"/>
  <c r="W332" i="3"/>
  <c r="V332" i="3"/>
  <c r="W331" i="3"/>
  <c r="V331" i="3"/>
  <c r="W330" i="3"/>
  <c r="V330" i="3"/>
  <c r="W329" i="3"/>
  <c r="V329" i="3"/>
  <c r="W328" i="3"/>
  <c r="V328" i="3"/>
  <c r="W327" i="3"/>
  <c r="V327" i="3"/>
  <c r="W326" i="3"/>
  <c r="V326" i="3"/>
  <c r="W325" i="3"/>
  <c r="V325" i="3"/>
  <c r="W324" i="3"/>
  <c r="V324" i="3"/>
  <c r="W323" i="3"/>
  <c r="V323" i="3"/>
  <c r="W322" i="3"/>
  <c r="V322" i="3"/>
  <c r="W321" i="3"/>
  <c r="V321" i="3"/>
  <c r="W320" i="3"/>
  <c r="V320" i="3"/>
  <c r="W319" i="3"/>
  <c r="V319" i="3"/>
  <c r="W318" i="3"/>
  <c r="V318" i="3"/>
  <c r="W317" i="3"/>
  <c r="V317" i="3"/>
  <c r="W316" i="3"/>
  <c r="V316" i="3"/>
  <c r="W315" i="3"/>
  <c r="V315" i="3"/>
  <c r="W314" i="3"/>
  <c r="V314" i="3"/>
  <c r="W313" i="3"/>
  <c r="V313" i="3"/>
  <c r="W312" i="3"/>
  <c r="V312" i="3"/>
  <c r="W311" i="3"/>
  <c r="V311" i="3"/>
  <c r="W310" i="3"/>
  <c r="V310" i="3"/>
  <c r="W309" i="3"/>
  <c r="V309" i="3"/>
  <c r="W308" i="3"/>
  <c r="V308" i="3"/>
  <c r="W307" i="3"/>
  <c r="V307" i="3"/>
  <c r="W306" i="3"/>
  <c r="V306" i="3"/>
  <c r="W305" i="3"/>
  <c r="V305" i="3"/>
  <c r="W304" i="3"/>
  <c r="V304" i="3"/>
  <c r="W303" i="3"/>
  <c r="V303" i="3"/>
  <c r="W302" i="3"/>
  <c r="V302" i="3"/>
  <c r="W301" i="3"/>
  <c r="V301" i="3"/>
  <c r="W300" i="3"/>
  <c r="V300" i="3"/>
  <c r="W299" i="3"/>
  <c r="V299" i="3"/>
  <c r="W298" i="3"/>
  <c r="V298" i="3"/>
  <c r="W297" i="3"/>
  <c r="V297" i="3"/>
  <c r="W296" i="3"/>
  <c r="V296" i="3"/>
  <c r="W295" i="3"/>
  <c r="V295" i="3"/>
  <c r="W294" i="3"/>
  <c r="V294" i="3"/>
  <c r="W293" i="3"/>
  <c r="V293" i="3"/>
  <c r="W292" i="3"/>
  <c r="V292" i="3"/>
  <c r="W291" i="3"/>
  <c r="V291" i="3"/>
  <c r="W290" i="3"/>
  <c r="V290" i="3"/>
  <c r="W289" i="3"/>
  <c r="V289" i="3"/>
  <c r="W288" i="3"/>
  <c r="V288" i="3"/>
  <c r="W287" i="3"/>
  <c r="V287" i="3"/>
  <c r="W286" i="3"/>
  <c r="V286" i="3"/>
  <c r="W285" i="3"/>
  <c r="V285" i="3"/>
  <c r="W284" i="3"/>
  <c r="V284" i="3"/>
  <c r="W283" i="3"/>
  <c r="V283" i="3"/>
  <c r="W282" i="3"/>
  <c r="V282" i="3"/>
  <c r="W281" i="3"/>
  <c r="V281" i="3"/>
  <c r="W280" i="3"/>
  <c r="V280" i="3"/>
  <c r="W279" i="3"/>
  <c r="V279" i="3"/>
  <c r="W278" i="3"/>
  <c r="V278" i="3"/>
  <c r="W277" i="3"/>
  <c r="V277" i="3"/>
  <c r="W276" i="3"/>
  <c r="V276" i="3"/>
  <c r="W275" i="3"/>
  <c r="V275" i="3"/>
  <c r="W274" i="3"/>
  <c r="V274" i="3"/>
  <c r="W273" i="3"/>
  <c r="V273" i="3"/>
  <c r="W272" i="3"/>
  <c r="V272" i="3"/>
  <c r="W271" i="3"/>
  <c r="V271" i="3"/>
  <c r="W270" i="3"/>
  <c r="V270" i="3"/>
  <c r="W269" i="3"/>
  <c r="V269" i="3"/>
  <c r="W268" i="3"/>
  <c r="V268" i="3"/>
  <c r="W267" i="3"/>
  <c r="V267" i="3"/>
  <c r="W266" i="3"/>
  <c r="V266" i="3"/>
  <c r="W265" i="3"/>
  <c r="V265" i="3"/>
  <c r="W264" i="3"/>
  <c r="V264" i="3"/>
  <c r="W263" i="3"/>
  <c r="V263" i="3"/>
  <c r="W262" i="3"/>
  <c r="V262" i="3"/>
  <c r="W261" i="3"/>
  <c r="V261" i="3"/>
  <c r="W260" i="3"/>
  <c r="V260" i="3"/>
  <c r="W259" i="3"/>
  <c r="V259" i="3"/>
  <c r="W258" i="3"/>
  <c r="V258" i="3"/>
  <c r="W257" i="3"/>
  <c r="V257" i="3"/>
  <c r="W256" i="3"/>
  <c r="V256" i="3"/>
  <c r="W255" i="3"/>
  <c r="V255" i="3"/>
  <c r="W254" i="3"/>
  <c r="V254" i="3"/>
  <c r="W253" i="3"/>
  <c r="V253" i="3"/>
  <c r="W252" i="3"/>
  <c r="V252" i="3"/>
  <c r="W251" i="3"/>
  <c r="V251" i="3"/>
  <c r="W250" i="3"/>
  <c r="V250" i="3"/>
  <c r="W249" i="3"/>
  <c r="V249" i="3"/>
  <c r="W248" i="3"/>
  <c r="V248" i="3"/>
  <c r="W247" i="3"/>
  <c r="V247" i="3"/>
  <c r="W246" i="3"/>
  <c r="V246" i="3"/>
  <c r="W245" i="3"/>
  <c r="V245" i="3"/>
  <c r="W244" i="3"/>
  <c r="V244" i="3"/>
  <c r="W243" i="3"/>
  <c r="V243" i="3"/>
  <c r="W242" i="3"/>
  <c r="V242" i="3"/>
  <c r="W241" i="3"/>
  <c r="V241" i="3"/>
  <c r="W240" i="3"/>
  <c r="V240" i="3"/>
  <c r="W239" i="3"/>
  <c r="V239" i="3"/>
  <c r="W238" i="3"/>
  <c r="V238" i="3"/>
  <c r="W237" i="3"/>
  <c r="V237" i="3"/>
  <c r="W236" i="3"/>
  <c r="V236" i="3"/>
  <c r="W235" i="3"/>
  <c r="V235" i="3"/>
  <c r="W234" i="3"/>
  <c r="V234" i="3"/>
  <c r="W233" i="3"/>
  <c r="V233" i="3"/>
  <c r="W232" i="3"/>
  <c r="V232" i="3"/>
  <c r="W231" i="3"/>
  <c r="V231" i="3"/>
  <c r="W230" i="3"/>
  <c r="V230" i="3"/>
  <c r="W229" i="3"/>
  <c r="V229" i="3"/>
  <c r="W228" i="3"/>
  <c r="V228" i="3"/>
  <c r="W227" i="3"/>
  <c r="V227" i="3"/>
  <c r="W226" i="3"/>
  <c r="V226" i="3"/>
  <c r="W225" i="3"/>
  <c r="V225" i="3"/>
  <c r="W224" i="3"/>
  <c r="V224" i="3"/>
  <c r="W223" i="3"/>
  <c r="V223" i="3"/>
  <c r="W222" i="3"/>
  <c r="V222" i="3"/>
  <c r="W221" i="3"/>
  <c r="V221" i="3"/>
  <c r="W220" i="3"/>
  <c r="V220" i="3"/>
  <c r="W219" i="3"/>
  <c r="V219" i="3"/>
  <c r="W218" i="3"/>
  <c r="V218" i="3"/>
  <c r="W217" i="3"/>
  <c r="V217" i="3"/>
  <c r="W216" i="3"/>
  <c r="V216" i="3"/>
  <c r="W215" i="3"/>
  <c r="V215" i="3"/>
  <c r="W214" i="3"/>
  <c r="V214" i="3"/>
  <c r="W213" i="3"/>
  <c r="V213" i="3"/>
  <c r="W212" i="3"/>
  <c r="V212" i="3"/>
  <c r="W211" i="3"/>
  <c r="V211" i="3"/>
  <c r="W210" i="3"/>
  <c r="V210" i="3"/>
  <c r="W209" i="3"/>
  <c r="V209" i="3"/>
  <c r="W208" i="3"/>
  <c r="V208" i="3"/>
  <c r="W207" i="3"/>
  <c r="V207" i="3"/>
  <c r="W206" i="3"/>
  <c r="V206" i="3"/>
  <c r="W205" i="3"/>
  <c r="V205" i="3"/>
  <c r="W204" i="3"/>
  <c r="V204" i="3"/>
  <c r="W203" i="3"/>
  <c r="V203" i="3"/>
  <c r="W202" i="3"/>
  <c r="V202" i="3"/>
  <c r="W201" i="3"/>
  <c r="V201" i="3"/>
  <c r="W200" i="3"/>
  <c r="V200" i="3"/>
  <c r="W199" i="3"/>
  <c r="V199" i="3"/>
  <c r="W198" i="3"/>
  <c r="V198" i="3"/>
  <c r="W197" i="3"/>
  <c r="V197" i="3"/>
  <c r="W196" i="3"/>
  <c r="V196" i="3"/>
  <c r="W195" i="3"/>
  <c r="V195" i="3"/>
  <c r="W194" i="3"/>
  <c r="V194" i="3"/>
  <c r="W193" i="3"/>
  <c r="V193" i="3"/>
  <c r="W192" i="3"/>
  <c r="V192" i="3"/>
  <c r="W191" i="3"/>
  <c r="V191" i="3"/>
  <c r="W190" i="3"/>
  <c r="V190" i="3"/>
  <c r="W189" i="3"/>
  <c r="V189" i="3"/>
  <c r="W188" i="3"/>
  <c r="V188" i="3"/>
  <c r="W187" i="3"/>
  <c r="V187" i="3"/>
  <c r="W186" i="3"/>
  <c r="V186" i="3"/>
  <c r="W185" i="3"/>
  <c r="V185" i="3"/>
  <c r="W184" i="3"/>
  <c r="V184" i="3"/>
  <c r="W183" i="3"/>
  <c r="V183" i="3"/>
  <c r="W182" i="3"/>
  <c r="V182" i="3"/>
  <c r="W181" i="3"/>
  <c r="V181" i="3"/>
  <c r="W180" i="3"/>
  <c r="V180" i="3"/>
  <c r="W179" i="3"/>
  <c r="V179" i="3"/>
  <c r="W178" i="3"/>
  <c r="V178" i="3"/>
  <c r="W177" i="3"/>
  <c r="V177" i="3"/>
  <c r="W176" i="3"/>
  <c r="V176" i="3"/>
  <c r="W175" i="3"/>
  <c r="V175" i="3"/>
  <c r="W174" i="3"/>
  <c r="V174" i="3"/>
  <c r="W173" i="3"/>
  <c r="V173" i="3"/>
  <c r="W172" i="3"/>
  <c r="V172" i="3"/>
  <c r="W171" i="3"/>
  <c r="V171" i="3"/>
  <c r="W170" i="3"/>
  <c r="V170" i="3"/>
  <c r="W169" i="3"/>
  <c r="V169" i="3"/>
  <c r="W168" i="3"/>
  <c r="V168" i="3"/>
  <c r="W167" i="3"/>
  <c r="V167" i="3"/>
  <c r="W166" i="3"/>
  <c r="V166" i="3"/>
  <c r="W165" i="3"/>
  <c r="V165" i="3"/>
  <c r="W164" i="3"/>
  <c r="V164" i="3"/>
  <c r="W163" i="3"/>
  <c r="V163" i="3"/>
  <c r="W162" i="3"/>
  <c r="V162" i="3"/>
  <c r="W161" i="3"/>
  <c r="V161" i="3"/>
  <c r="W160" i="3"/>
  <c r="V160" i="3"/>
  <c r="W159" i="3"/>
  <c r="V159" i="3"/>
  <c r="W158" i="3"/>
  <c r="V158" i="3"/>
  <c r="W157" i="3"/>
  <c r="V157" i="3"/>
  <c r="W156" i="3"/>
  <c r="V156" i="3"/>
  <c r="W155" i="3"/>
  <c r="V155" i="3"/>
  <c r="W154" i="3"/>
  <c r="V154" i="3"/>
  <c r="W153" i="3"/>
  <c r="V153" i="3"/>
  <c r="W152" i="3"/>
  <c r="V152" i="3"/>
  <c r="W151" i="3"/>
  <c r="V151" i="3"/>
  <c r="W150" i="3"/>
  <c r="V150" i="3"/>
  <c r="W149" i="3"/>
  <c r="V149" i="3"/>
  <c r="W148" i="3"/>
  <c r="V148" i="3"/>
  <c r="W147" i="3"/>
  <c r="V147" i="3"/>
  <c r="W146" i="3"/>
  <c r="V146" i="3"/>
  <c r="W145" i="3"/>
  <c r="V145" i="3"/>
  <c r="W144" i="3"/>
  <c r="V144" i="3"/>
  <c r="W143" i="3"/>
  <c r="V143" i="3"/>
  <c r="W142" i="3"/>
  <c r="V142" i="3"/>
  <c r="W141" i="3"/>
  <c r="V141" i="3"/>
  <c r="W140" i="3"/>
  <c r="V140" i="3"/>
  <c r="W139" i="3"/>
  <c r="V139" i="3"/>
  <c r="W138" i="3"/>
  <c r="V138" i="3"/>
  <c r="W137" i="3"/>
  <c r="V137" i="3"/>
  <c r="W136" i="3"/>
  <c r="V136" i="3"/>
  <c r="W135" i="3"/>
  <c r="V135" i="3"/>
  <c r="W134" i="3"/>
  <c r="V134" i="3"/>
  <c r="W133" i="3"/>
  <c r="V133" i="3"/>
  <c r="W132" i="3"/>
  <c r="V132" i="3"/>
  <c r="W131" i="3"/>
  <c r="V131" i="3"/>
  <c r="W130" i="3"/>
  <c r="V130" i="3"/>
  <c r="W129" i="3"/>
  <c r="V129" i="3"/>
  <c r="W128" i="3"/>
  <c r="V128" i="3"/>
  <c r="W127" i="3"/>
  <c r="V127" i="3"/>
  <c r="W126" i="3"/>
  <c r="V126" i="3"/>
  <c r="W125" i="3"/>
  <c r="V125" i="3"/>
  <c r="W124" i="3"/>
  <c r="V124" i="3"/>
  <c r="W123" i="3"/>
  <c r="V123" i="3"/>
  <c r="W122" i="3"/>
  <c r="V122" i="3"/>
  <c r="W121" i="3"/>
  <c r="V121" i="3"/>
  <c r="W120" i="3"/>
  <c r="V120" i="3"/>
  <c r="W119" i="3"/>
  <c r="V119" i="3"/>
  <c r="W118" i="3"/>
  <c r="V118" i="3"/>
  <c r="W117" i="3"/>
  <c r="V117" i="3"/>
  <c r="W116" i="3"/>
  <c r="V116" i="3"/>
  <c r="W115" i="3"/>
  <c r="V115" i="3"/>
  <c r="W114" i="3"/>
  <c r="V114" i="3"/>
  <c r="W113" i="3"/>
  <c r="V113" i="3"/>
  <c r="W112" i="3"/>
  <c r="V112" i="3"/>
  <c r="W111" i="3"/>
  <c r="V111" i="3"/>
  <c r="W110" i="3"/>
  <c r="V110" i="3"/>
  <c r="W109" i="3"/>
  <c r="V109" i="3"/>
  <c r="W108" i="3"/>
  <c r="V108" i="3"/>
  <c r="W107" i="3"/>
  <c r="V107" i="3"/>
  <c r="W106" i="3"/>
  <c r="V106" i="3"/>
  <c r="W105" i="3"/>
  <c r="V105" i="3"/>
  <c r="W104" i="3"/>
  <c r="V104" i="3"/>
  <c r="W103" i="3"/>
  <c r="V103" i="3"/>
  <c r="W102" i="3"/>
  <c r="V102" i="3"/>
  <c r="W101" i="3"/>
  <c r="V101" i="3"/>
  <c r="W100" i="3"/>
  <c r="V100" i="3"/>
  <c r="W99" i="3"/>
  <c r="V99" i="3"/>
  <c r="W98" i="3"/>
  <c r="V98" i="3"/>
  <c r="W97" i="3"/>
  <c r="V97" i="3"/>
  <c r="W96" i="3"/>
  <c r="V96" i="3"/>
  <c r="W95" i="3"/>
  <c r="V95" i="3"/>
  <c r="W94" i="3"/>
  <c r="V94" i="3"/>
  <c r="W93" i="3"/>
  <c r="V93" i="3"/>
  <c r="W92" i="3"/>
  <c r="V92" i="3"/>
  <c r="W91" i="3"/>
  <c r="V91" i="3"/>
  <c r="W90" i="3"/>
  <c r="V90" i="3"/>
  <c r="W89" i="3"/>
  <c r="V89" i="3"/>
  <c r="W88" i="3"/>
  <c r="V88" i="3"/>
  <c r="W87" i="3"/>
  <c r="V87" i="3"/>
  <c r="W86" i="3"/>
  <c r="V86" i="3"/>
  <c r="W85" i="3"/>
  <c r="V85" i="3"/>
  <c r="W84" i="3"/>
  <c r="V84" i="3"/>
  <c r="W83" i="3"/>
  <c r="V83" i="3"/>
  <c r="W82" i="3"/>
  <c r="V82" i="3"/>
  <c r="W81" i="3"/>
  <c r="V81" i="3"/>
  <c r="W80" i="3"/>
  <c r="V80" i="3"/>
  <c r="W79" i="3"/>
  <c r="V79" i="3"/>
  <c r="W78" i="3"/>
  <c r="V78" i="3"/>
  <c r="W77" i="3"/>
  <c r="V77" i="3"/>
  <c r="W76" i="3"/>
  <c r="V76" i="3"/>
  <c r="W75" i="3"/>
  <c r="V75" i="3"/>
  <c r="W74" i="3"/>
  <c r="V74" i="3"/>
  <c r="W73" i="3"/>
  <c r="V73" i="3"/>
  <c r="W72" i="3"/>
  <c r="V72" i="3"/>
  <c r="W71" i="3"/>
  <c r="V71" i="3"/>
  <c r="W70" i="3"/>
  <c r="V70" i="3"/>
  <c r="W69" i="3"/>
  <c r="V69" i="3"/>
  <c r="W68" i="3"/>
  <c r="V68" i="3"/>
  <c r="W67" i="3"/>
  <c r="V67" i="3"/>
  <c r="W66" i="3"/>
  <c r="V66" i="3"/>
  <c r="W65" i="3"/>
  <c r="V65" i="3"/>
  <c r="W64" i="3"/>
  <c r="V64" i="3"/>
  <c r="W63" i="3"/>
  <c r="V63" i="3"/>
  <c r="W62" i="3"/>
  <c r="V62" i="3"/>
  <c r="W61" i="3"/>
  <c r="V61" i="3"/>
  <c r="W60" i="3"/>
  <c r="V60" i="3"/>
  <c r="W59" i="3"/>
  <c r="V59" i="3"/>
  <c r="W58" i="3"/>
  <c r="V58" i="3"/>
  <c r="W57" i="3"/>
  <c r="V57" i="3"/>
  <c r="W56" i="3"/>
  <c r="V56" i="3"/>
  <c r="W55" i="3"/>
  <c r="V55" i="3"/>
  <c r="W54" i="3"/>
  <c r="V54" i="3"/>
  <c r="W53" i="3"/>
  <c r="V53" i="3"/>
  <c r="W52" i="3"/>
  <c r="V52" i="3"/>
  <c r="W51" i="3"/>
  <c r="V51" i="3"/>
  <c r="W50" i="3"/>
  <c r="V50" i="3"/>
  <c r="W49" i="3"/>
  <c r="V49" i="3"/>
  <c r="W48" i="3"/>
  <c r="V48" i="3"/>
  <c r="W47" i="3"/>
  <c r="V47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AF4" i="3"/>
  <c r="C36" i="8" s="1"/>
  <c r="W4" i="3"/>
  <c r="V4" i="3"/>
  <c r="W3" i="3"/>
  <c r="V3" i="3"/>
  <c r="AF1" i="3"/>
  <c r="C33" i="8" s="1"/>
  <c r="C42" i="2" l="1"/>
  <c r="C4" i="8"/>
  <c r="D4" i="8" s="1"/>
  <c r="C47" i="2" s="1"/>
  <c r="E8" i="8"/>
  <c r="AF3" i="3"/>
  <c r="C35" i="8" s="1"/>
  <c r="AF2" i="3"/>
  <c r="C34" i="8" s="1"/>
  <c r="C41" i="2"/>
  <c r="C40" i="2"/>
  <c r="C43" i="2"/>
  <c r="C37" i="2"/>
  <c r="C39" i="2" l="1"/>
  <c r="C38" i="2"/>
  <c r="C46" i="2"/>
</calcChain>
</file>

<file path=xl/sharedStrings.xml><?xml version="1.0" encoding="utf-8"?>
<sst xmlns="http://schemas.openxmlformats.org/spreadsheetml/2006/main" count="5269" uniqueCount="1301">
  <si>
    <t>NTIA Minimum Elements (Identification)</t>
  </si>
  <si>
    <t>Dependency &amp; Classification</t>
  </si>
  <si>
    <t>Risk &amp; Operational Classification (FDA Risk-Based Prioritization)</t>
  </si>
  <si>
    <t>FDA Lifecycle Elements (Sec. VII.C.3) — auto-calculated</t>
  </si>
  <si>
    <t>Vulnerabilities &amp; Patching</t>
  </si>
  <si>
    <t>Supply-Chain Integrity &amp; Provenance</t>
  </si>
  <si>
    <t>Notes</t>
  </si>
  <si>
    <t>Total components (auto)</t>
  </si>
  <si>
    <t>#</t>
  </si>
  <si>
    <t>Component Name</t>
  </si>
  <si>
    <t>Version</t>
  </si>
  <si>
    <t>Supplier / Legal Entity Name</t>
  </si>
  <si>
    <t>Unique ID Type</t>
  </si>
  <si>
    <t>Unique ID Value</t>
  </si>
  <si>
    <t>Dependency Type</t>
  </si>
  <si>
    <t>Parent / Depends-On Component</t>
  </si>
  <si>
    <t>Dependency Depth</t>
  </si>
  <si>
    <t>Component Type</t>
  </si>
  <si>
    <t>Origin / Category</t>
  </si>
  <si>
    <t>License</t>
  </si>
  <si>
    <t>Runtime / Build-Time</t>
  </si>
  <si>
    <t>Criticality to Device Operation</t>
  </si>
  <si>
    <t>Safety Relevance</t>
  </si>
  <si>
    <t>Network Exposure</t>
  </si>
  <si>
    <t>Authentication Dependency</t>
  </si>
  <si>
    <t>Internet-Facing</t>
  </si>
  <si>
    <t>Level of Support</t>
  </si>
  <si>
    <t>End-of-Support (EOS) Date</t>
  </si>
  <si>
    <t>End-of-Life (EOL) Date</t>
  </si>
  <si>
    <t>Days to EOS</t>
  </si>
  <si>
    <t>Lifecycle Flag</t>
  </si>
  <si>
    <t>Known Vulnerabilities (CVE/IDs)</t>
  </si>
  <si>
    <t>Patch / Update Mechanism</t>
  </si>
  <si>
    <t>Component Hash / Checksum (SHA-256)</t>
  </si>
  <si>
    <t>Cryptographic Signature Status</t>
  </si>
  <si>
    <t>Build Environment / Provenance ID</t>
  </si>
  <si>
    <t>Supplier Security Contact (Email)</t>
  </si>
  <si>
    <t>Notes / Justification</t>
  </si>
  <si>
    <t>Past EOS (auto)</t>
  </si>
  <si>
    <t>certifi</t>
  </si>
  <si>
    <t>2025.10.5</t>
  </si>
  <si>
    <t>NOASSERTION</t>
  </si>
  <si>
    <t>PURL</t>
  </si>
  <si>
    <t>pkg:pypi/certifi@2025.10.5</t>
  </si>
  <si>
    <t>Library</t>
  </si>
  <si>
    <t>Commercial (COTS)</t>
  </si>
  <si>
    <t>Unknown</t>
  </si>
  <si>
    <t>2026.7.22</t>
  </si>
  <si>
    <t>Source SBOM(s): WSASBOM015_inference-fixed; DEPENDENCY_OF: requests</t>
  </si>
  <si>
    <t>docker-image|sbom_inference.tar</t>
  </si>
  <si>
    <t>Other</t>
  </si>
  <si>
    <t>SPDXRef-1-docker-image-sbom-inference.tar</t>
  </si>
  <si>
    <t>Source SBOM(s): WSASBOM015_inference-fixed</t>
  </si>
  <si>
    <t>filelock</t>
  </si>
  <si>
    <t>3.20.0</t>
  </si>
  <si>
    <t>pkg:pypi/filelock@3.20.0</t>
  </si>
  <si>
    <t>CVE-2025-68146, CVE-2026-22701</t>
  </si>
  <si>
    <t>3.32.5</t>
  </si>
  <si>
    <t>Source SBOM(s): WSASBOM015_inference-fixed; DEPENDENCY_OF: torch</t>
  </si>
  <si>
    <t>fsspec</t>
  </si>
  <si>
    <t>2026.6.0</t>
  </si>
  <si>
    <t>pkg:pypi/fsspec@2026.6.0</t>
  </si>
  <si>
    <t>2026.7.0</t>
  </si>
  <si>
    <t>idna</t>
  </si>
  <si>
    <t>3.11.0</t>
  </si>
  <si>
    <t>pkg:pypi/idna@3.11.0</t>
  </si>
  <si>
    <t>CVE-2026-45409</t>
  </si>
  <si>
    <t>3.19</t>
  </si>
  <si>
    <t>jinja2</t>
  </si>
  <si>
    <t>3.1.6</t>
  </si>
  <si>
    <t>pkg:pypi/jinja2@3.1.6</t>
  </si>
  <si>
    <t>joblib</t>
  </si>
  <si>
    <t>1.5.3</t>
  </si>
  <si>
    <t>pkg:pypi/joblib@1.5.3</t>
  </si>
  <si>
    <t>1.6.0</t>
  </si>
  <si>
    <t>Source SBOM(s): WSASBOM015_inference-fixed; DEPENDENCY_OF: /models/requirements.txt</t>
  </si>
  <si>
    <t>markupsafe</t>
  </si>
  <si>
    <t>3.0.3</t>
  </si>
  <si>
    <t>pkg:pypi/markupsafe@3.0.3</t>
  </si>
  <si>
    <t>Source SBOM(s): WSASBOM015_inference-fixed; DEPENDENCY_OF: jinja2</t>
  </si>
  <si>
    <t>mpmath</t>
  </si>
  <si>
    <t>1.3.0</t>
  </si>
  <si>
    <t>pkg:pypi/mpmath@1.3.0</t>
  </si>
  <si>
    <t>1.4.1</t>
  </si>
  <si>
    <t>Source SBOM(s): WSASBOM015_inference-fixed; DEPENDENCY_OF: sympy</t>
  </si>
  <si>
    <t>networkx</t>
  </si>
  <si>
    <t>3.6.1</t>
  </si>
  <si>
    <t>pkg:pypi/networkx@3.6.1</t>
  </si>
  <si>
    <t>neurokit2</t>
  </si>
  <si>
    <t>0.2.12</t>
  </si>
  <si>
    <t>pkg:pypi/neurokit2@0.2.12</t>
  </si>
  <si>
    <t>0.2.13</t>
  </si>
  <si>
    <t>oauthlib</t>
  </si>
  <si>
    <t>3.3.1</t>
  </si>
  <si>
    <t>pkg:pypi/oauthlib@3.3.1</t>
  </si>
  <si>
    <t>pandas</t>
  </si>
  <si>
    <t>2.3.3</t>
  </si>
  <si>
    <t>pkg:pypi/pandas@2.3.3</t>
  </si>
  <si>
    <t>3.0.5</t>
  </si>
  <si>
    <t>Source SBOM(s): WSASBOM015_inference-fixed; DEPENDENCY_OF: /models/requirements.txt; DEPENDENCY_OF: neurokit2</t>
  </si>
  <si>
    <t>pillow</t>
  </si>
  <si>
    <t>11.3.0</t>
  </si>
  <si>
    <t>pkg:pypi/pillow@11.3.0</t>
  </si>
  <si>
    <t>CVE-2026-25990, CVE-2026-40192, CVE-2026-42308, CVE-2026-42309, CVE-2026-42310, CVE-2026-42311, CVE-2026-54058, CVE-2026-54059, CVE-2026-54060, CVE-2026-55379, CVE-2026-55380, CVE-2026-55798, CVE-2026-59197, CVE-2026-59198, CVE-2026-59199, CVE-2026-59200, CVE-2026-59204, CVE-2026-59205</t>
  </si>
  <si>
    <t>12.3.0</t>
  </si>
  <si>
    <t>psutil</t>
  </si>
  <si>
    <t>7.2.2</t>
  </si>
  <si>
    <t>pkg:pypi/psutil@7.2.2</t>
  </si>
  <si>
    <t>pyjwt</t>
  </si>
  <si>
    <t>2.13.0</t>
  </si>
  <si>
    <t>pkg:pypi/pyjwt@2.13.0</t>
  </si>
  <si>
    <t>python-dateutil</t>
  </si>
  <si>
    <t>2.9.0</t>
  </si>
  <si>
    <t>pkg:pypi/python-dateutil@2.9.0</t>
  </si>
  <si>
    <t>2.9.0.post0</t>
  </si>
  <si>
    <t>Source SBOM(s): WSASBOM015_inference-fixed; DEPENDENCY_OF: /models/requirements.txt; DEPENDENCY_OF: pandas</t>
  </si>
  <si>
    <t>pytz</t>
  </si>
  <si>
    <t>2025.2.0</t>
  </si>
  <si>
    <t>pkg:pypi/pytz@2025.2.0</t>
  </si>
  <si>
    <t>2026.3.post1</t>
  </si>
  <si>
    <t>pywavelets</t>
  </si>
  <si>
    <t>1.9.0</t>
  </si>
  <si>
    <t>pkg:pypi/pywavelets@1.9.0</t>
  </si>
  <si>
    <t>1.10.0</t>
  </si>
  <si>
    <t>Source SBOM(s): WSASBOM015_inference-fixed; DEPENDENCY_OF: neurokit2</t>
  </si>
  <si>
    <t>requests</t>
  </si>
  <si>
    <t>2.34.2</t>
  </si>
  <si>
    <t>pkg:pypi/requests@2.34.2</t>
  </si>
  <si>
    <t>requirements.txt</t>
  </si>
  <si>
    <t>pkg:pypi/models/requirements.txt</t>
  </si>
  <si>
    <t>setuptools</t>
  </si>
  <si>
    <t>82.0.1</t>
  </si>
  <si>
    <t>pkg:pypi/setuptools@82.0.1</t>
  </si>
  <si>
    <t>CVE-2026-59890</t>
  </si>
  <si>
    <t>84.0.0</t>
  </si>
  <si>
    <t>Source SBOM(s): WSASBOM015_inference-fixed; DEPENDENCY_OF: /models/requirements.txt; DEPENDENCY_OF: torch</t>
  </si>
  <si>
    <t>sympy</t>
  </si>
  <si>
    <t>1.14.0</t>
  </si>
  <si>
    <t>pkg:pypi/sympy@1.14.0</t>
  </si>
  <si>
    <t>threadpoolctl</t>
  </si>
  <si>
    <t>3.6.0</t>
  </si>
  <si>
    <t>pkg:pypi/threadpoolctl@3.6.0</t>
  </si>
  <si>
    <t>torch</t>
  </si>
  <si>
    <t>2.7.1</t>
  </si>
  <si>
    <t>pkg:pypi/torch@2.7.1</t>
  </si>
  <si>
    <t>CVE-2025-2999, CVE-2025-3000, CVE-2025-3001, CVE-2025-3730, CVE-2025-55551, CVE-2025-55552, CVE-2025-55554, CVE-2026-24747, CVE-2026-4538</t>
  </si>
  <si>
    <t>2.14.0</t>
  </si>
  <si>
    <t>typing-extensions</t>
  </si>
  <si>
    <t>4.15.0</t>
  </si>
  <si>
    <t>pkg:pypi/typing-extensions@4.15.0</t>
  </si>
  <si>
    <t>4.16.0</t>
  </si>
  <si>
    <t>Source SBOM(s): WSASBOM015_inference-fixed; DEPENDENCY_OF: pyjwt</t>
  </si>
  <si>
    <t>tzdata</t>
  </si>
  <si>
    <t>2026.3.0</t>
  </si>
  <si>
    <t>pkg:pypi/tzdata@2026.3.0</t>
  </si>
  <si>
    <t>Source SBOM(s): WSASBOM015_inference-fixed; DEPENDENCY_OF: pandas</t>
  </si>
  <si>
    <t>urllib3</t>
  </si>
  <si>
    <t>2.7.0</t>
  </si>
  <si>
    <t>pkg:pypi/urllib3@2.7.0</t>
  </si>
  <si>
    <t>Software Bill of Materials (SBOM) — FDA 510(k) / Premarket Template (Enhanced Edition)</t>
  </si>
  <si>
    <t>Aligned with FDA guidance “Cybersecurity in Medical Devices: Quality Management System Considerations and Content of Premarket Submissions” (issued Feb 3, 2026), Section 524B of the FD&amp;C Act, the NTIA Minimum Elements for an SBOM, and NIST SP 800-218 (SSDF). This edition adds the fields most commonly requested by FDA reviewers beyond the NTIA baseline, plus a self-checking compliance dashboard.</t>
  </si>
  <si>
    <t xml:space="preserve">  IMPORTANT — Format of the Official Submission</t>
  </si>
  <si>
    <t>FDA requires a MACHINE-READABLE SBOM for cyber devices (industry-accepted formats such as CycloneDX or SPDX) in the eSTAR cybersecurity section of a 510(k). This Excel workbook is a human-readable WORKING / MANAGEMENT template and review companion — use it to assemble, track and review your component data, then generate the machine-readable SBOM your build tooling produces. It does not by itself replace the machine-readable file in the submission.</t>
  </si>
  <si>
    <t xml:space="preserve">  What's in this workbook</t>
  </si>
  <si>
    <t>SBOM Metadata</t>
  </si>
  <si>
    <t>Device, submission, and SBOM document-level data — including the NTIA document-level elements (Author, Timestamp), manufacturer security/CVD contact, sign-off, and an Auto Summary that pulls live counts from the other tabs.</t>
  </si>
  <si>
    <t>SBOM Components</t>
  </si>
  <si>
    <t>The core component inventory: NTIA minimum elements, structured dependency classification, FDA risk-based prioritization fields (criticality, safety relevance, network exposure, authentication dependency, internet-facing), FDA lifecycle elements (support level, EOS/EOL with auto-calculated flags), and supply-chain integrity fields (hash, signature status, build/provenance ID).</t>
  </si>
  <si>
    <t>Environment &amp; Third-Party Dependencies</t>
  </si>
  <si>
    <t>Operating system, container base image, embedded firmware, and third-party/cloud service dependencies — categories that sit outside the application component tree but are still part of the device's attack surface.</t>
  </si>
  <si>
    <t>Vulnerabilities &amp; VEX</t>
  </si>
  <si>
    <t>Per-component known vulnerabilities with CVSS (version, base score, vector), EPSS score, CISA KEV status, VEX status and justification, patient-safety/clinical impact, exploitability, and a remediation plan with owner and target date.</t>
  </si>
  <si>
    <t>Lifecycle &amp; Support Plan</t>
  </si>
  <si>
    <t>Obsolescence / end-of-support planning for components approaching or past EOS/EOL — risk, mitigation, compensating controls, verification method, owner and action dates.</t>
  </si>
  <si>
    <t>Supplier &amp; Security Contact Registry</t>
  </si>
  <si>
    <t>One row per supplier/manufacturer with a security (PSIRT) contact and coordinated vulnerability disclosure (CVD) policy link — supports Sec. 524B's CVD and supply-chain transparency expectations.</t>
  </si>
  <si>
    <t>FDA Compliance Dashboard</t>
  </si>
  <si>
    <t>Self-checking traceability matrix: every NTIA/FDA element mapped to its location in this workbook, with a live completeness percentage computed from your data, plus a composite readiness indicator.</t>
  </si>
  <si>
    <t xml:space="preserve">  Required / recommended SBOM fields — and where each lives</t>
  </si>
  <si>
    <t>Requirement</t>
  </si>
  <si>
    <t>Source / Location in this workbook</t>
  </si>
  <si>
    <t>Supplier Name</t>
  </si>
  <si>
    <t>NTIA min. element — SBOM Components, col. ‘Supplier / Legal Entity Name’</t>
  </si>
  <si>
    <t>NTIA min. element — SBOM Components, col. ‘Component Name’</t>
  </si>
  <si>
    <t>Version of the Component</t>
  </si>
  <si>
    <t>NTIA min. element — SBOM Components, col. ‘Version’</t>
  </si>
  <si>
    <t>Other Unique Identifiers</t>
  </si>
  <si>
    <t>NTIA min. element — SBOM Components, cols. ‘Unique ID Type’ + ‘Unique ID Value’ (CPE / PURL / SWID)</t>
  </si>
  <si>
    <t>Dependency Relationship</t>
  </si>
  <si>
    <t>NTIA min. element — SBOM Components, cols. ‘Dependency Type’, ‘Parent / Depends-On Component’, ‘Dependency Depth’ (structured, not free text)</t>
  </si>
  <si>
    <t>Author of SBOM Data</t>
  </si>
  <si>
    <t>NTIA min. element (document-level) — SBOM Metadata, ‘Author Name / Organization / Role / Email’</t>
  </si>
  <si>
    <t>Timestamp</t>
  </si>
  <si>
    <t>NTIA min. element (document-level) — SBOM Metadata, ‘SBOM Timestamp’</t>
  </si>
  <si>
    <t>Level of support</t>
  </si>
  <si>
    <t>FDA additional element (Sec. VII.C.3) — SBOM Components, col. ‘Level of Support’</t>
  </si>
  <si>
    <t>Component end-of-support (EOS) date</t>
  </si>
  <si>
    <t>FDA additional element (Sec. VII.C.3) — SBOM Components, col. ‘End-of-Support (EOS) Date’ (auto-flagged)</t>
  </si>
  <si>
    <t>End-of-life (EOL) date</t>
  </si>
  <si>
    <t>SBOM Components, col. ‘End-of-Life (EOL) Date’</t>
  </si>
  <si>
    <t>All known vulnerabilities</t>
  </si>
  <si>
    <t>FDA premarket expectation — Vulnerabilities &amp; VEX tab</t>
  </si>
  <si>
    <t>Vulnerability remediation status / VEX</t>
  </si>
  <si>
    <t>FDA premarket expectation — Vulnerabilities &amp; VEX, cols. ‘VEX Status’, ‘VEX Justification’, ‘Status’, ‘Target / Resolution Date’</t>
  </si>
  <si>
    <t>Risk-based prioritization inputs</t>
  </si>
  <si>
    <t>FDA premarket expectation — SBOM Components, cols. ‘Criticality’, ‘Safety Relevance’, ‘Network Exposure’, ‘Authentication Dependency’, ‘Internet-Facing’</t>
  </si>
  <si>
    <t>Software supply-chain integrity</t>
  </si>
  <si>
    <t>SBOM Components, cols. ‘Component Hash / Checksum’, ‘Cryptographic Signature Status’, ‘Build Environment / Provenance ID’</t>
  </si>
  <si>
    <t>Coordinated vulnerability disclosure / supplier contact</t>
  </si>
  <si>
    <t>Supplier &amp; Security Contact Registry tab; SBOM Metadata, ‘Manufacturer Security Contact / CVD’ section</t>
  </si>
  <si>
    <t>OS / container / firmware / third-party service dependencies</t>
  </si>
  <si>
    <t>Environment &amp; Third-Party Dependencies tab</t>
  </si>
  <si>
    <t xml:space="preserve">  How to use</t>
  </si>
  <si>
    <t>1. Fill the SBOM Metadata tab first (device, submission, SBOM author/timestamp, manufacturer security contact).</t>
  </si>
  <si>
    <t>2. Enter one row per component on the SBOM Components tab. The row shaded amber is an EXAMPLE — overwrite or delete it.</t>
  </si>
  <si>
    <t>3. Use the drop-downs (Unique ID Type, Dependency Type, Component Type, Origin, Level of Support, Criticality, Network Exposure, VEX Status, etc.) for consistent, filterable values.</t>
  </si>
  <si>
    <t>4. Enter EOS/EOL as real dates (YYYY-MM-DD). ‘Days to EOS’ and ‘Lifecycle Flag’ calculate automatically and turn red when a component is past support, amber within 12 months.</t>
  </si>
  <si>
    <t>5. Log every known vulnerability on the Vulnerabilities &amp; VEX tab; set a real VEX status (not left at ‘Under Investigation’ indefinitely) with justification, patient-safety impact, and a target date.</t>
  </si>
  <si>
    <t>6. For any component near/past EOS, or with an unverified support status, complete a row on the Lifecycle &amp; Support Plan tab.</t>
  </si>
  <si>
    <t>7. Record every OS, container, firmware, or third-party service dependency on the Environment &amp; Third-Party Dependencies tab — these are commonly missed but are part of the device's attack surface.</t>
  </si>
  <si>
    <t>8. Add each supplier's security contact and CVD policy link to the Supplier &amp; Security Contact Registry.</t>
  </si>
  <si>
    <t>9. Check the FDA Compliance Dashboard tab before submission — it computes live completeness percentages from your data and flags anything still short of ‘Complete’.</t>
  </si>
  <si>
    <t>10. Need more rows than pre-filled? Copy the last data row down — formulas, formatting, and validation carry over.</t>
  </si>
  <si>
    <t>Disclaimer: This template is a working aid, not regulatory or legal advice. FDA guidance is non-binding and evolves — verify current guidance and eSTAR requirements and consult your regulatory affairs function before submission.</t>
  </si>
  <si>
    <t xml:space="preserve">  Device &amp; Submission</t>
  </si>
  <si>
    <t>Device Name</t>
  </si>
  <si>
    <t>Inference</t>
  </si>
  <si>
    <t>Device Model / Catalog Number</t>
  </si>
  <si>
    <t>Wellysis</t>
  </si>
  <si>
    <t>Manufacturer / Sponsor (Legal Entity Name)</t>
  </si>
  <si>
    <t>HCL</t>
  </si>
  <si>
    <t>Submission Type</t>
  </si>
  <si>
    <t>510(k)</t>
  </si>
  <si>
    <t>Submission (e.g., 510(k)) Number</t>
  </si>
  <si>
    <t>101</t>
  </si>
  <si>
    <t>Product Code / Regulation No.</t>
  </si>
  <si>
    <t>WL101</t>
  </si>
  <si>
    <t>Device Software Version</t>
  </si>
  <si>
    <t>1.0.0</t>
  </si>
  <si>
    <t>Top-Level / Primary Component</t>
  </si>
  <si>
    <t xml:space="preserve">  SBOM Document (NTIA document-level elements)</t>
  </si>
  <si>
    <t>Author Name (Individual)  [NTIA]</t>
  </si>
  <si>
    <t>hclcs.admin@hcltech.com</t>
  </si>
  <si>
    <t>Author Organization  [NTIA]</t>
  </si>
  <si>
    <t>Author Role / Title</t>
  </si>
  <si>
    <t>Author Email</t>
  </si>
  <si>
    <t>SBOM Timestamp  [NTIA]</t>
  </si>
  <si>
    <t>SBOM Version</t>
  </si>
  <si>
    <t>SBOM Format(s) for Submission (e.g., CycloneDX / SPDX)</t>
  </si>
  <si>
    <t>SPDX</t>
  </si>
  <si>
    <t>SBOM Generation Tool &amp; Version</t>
  </si>
  <si>
    <t>SNYK</t>
  </si>
  <si>
    <t>Primary Data Source</t>
  </si>
  <si>
    <t>Persisted SBOM analysis results</t>
  </si>
  <si>
    <t xml:space="preserve">  Manufacturer Security Contact / Coordinated Vulnerability Disclosure</t>
  </si>
  <si>
    <t>Manufacturer PSIRT / Security Contact Email</t>
  </si>
  <si>
    <t>Coordinated Vulnerability Disclosure (CVD) Policy URL</t>
  </si>
  <si>
    <t>Vulnerability Intake Method (e.g., web form, email, HackerOne)</t>
  </si>
  <si>
    <t xml:space="preserve">  Sign-off</t>
  </si>
  <si>
    <t>Prepared By</t>
  </si>
  <si>
    <t>Date Prepared</t>
  </si>
  <si>
    <t>Reviewed / Approved By</t>
  </si>
  <si>
    <t>Date Approved</t>
  </si>
  <si>
    <t xml:space="preserve">  Auto Summary (live — calculated from other tabs, do not edit)</t>
  </si>
  <si>
    <t>Total components listed</t>
  </si>
  <si>
    <t>Components PAST end-of-support</t>
  </si>
  <si>
    <t>Components with EOS within 12 months</t>
  </si>
  <si>
    <t>Components no longer maintained / abandoned / unknown support</t>
  </si>
  <si>
    <t>Total vulnerabilities logged</t>
  </si>
  <si>
    <t>Open Critical / High vulnerabilities</t>
  </si>
  <si>
    <t>Vulnerabilities with no VEX justification yet</t>
  </si>
  <si>
    <t xml:space="preserve">  FDA Readiness Snapshot  (full detail on 'FDA Compliance Dashboard' tab)</t>
  </si>
  <si>
    <t>Composite FDA Readiness Score (0-100%)</t>
  </si>
  <si>
    <t>Readiness Status</t>
  </si>
  <si>
    <t>OS / Container / Firmware / Third-Party Service Dependencies — components outside the application dependency tree that are still part of the device's attack surface</t>
  </si>
  <si>
    <t>Dependency Category</t>
  </si>
  <si>
    <t>Name</t>
  </si>
  <si>
    <t>Version / Tag / Digest</t>
  </si>
  <si>
    <t>Supplier / Vendor</t>
  </si>
  <si>
    <t>Unique Identifier (PURL / Image Digest / CPE)</t>
  </si>
  <si>
    <t>EOS Date</t>
  </si>
  <si>
    <t>EOL Date</t>
  </si>
  <si>
    <t>Known Vulnerabilities</t>
  </si>
  <si>
    <t>Operating System</t>
  </si>
  <si>
    <t>acl/libacl1</t>
  </si>
  <si>
    <t>2.3.2-1build1.1</t>
  </si>
  <si>
    <t>pkg:deb/ubuntu/libacl1@2.3.2-1build1.1?distro=ubuntu-24.04&amp;upstream=acl</t>
  </si>
  <si>
    <t>Actively maintained</t>
  </si>
  <si>
    <t>WSASBOM015_inference-fixed</t>
  </si>
  <si>
    <t>adduser</t>
  </si>
  <si>
    <t>3.137ubuntu1</t>
  </si>
  <si>
    <t>pkg:deb/ubuntu/adduser@3.137ubuntu1?distro=ubuntu-24.04</t>
  </si>
  <si>
    <t>apt</t>
  </si>
  <si>
    <t>2.8.3</t>
  </si>
  <si>
    <t>pkg:deb/ubuntu/apt@2.8.3?distro=ubuntu-24.04</t>
  </si>
  <si>
    <t>apt/apt-utils</t>
  </si>
  <si>
    <t>pkg:deb/ubuntu/apt-utils@2.8.3?distro=ubuntu-24.04&amp;upstream=apt</t>
  </si>
  <si>
    <t>apt/libapt-pkg6.0t64</t>
  </si>
  <si>
    <t>pkg:deb/ubuntu/libapt-pkg6.0t64@2.8.3?distro=ubuntu-24.04&amp;upstream=apt</t>
  </si>
  <si>
    <t>attr/libattr1</t>
  </si>
  <si>
    <t>1:2.5.2-1build1.1</t>
  </si>
  <si>
    <t>pkg:deb/ubuntu/libattr1@1:2.5.2-1build1.1?distro=ubuntu-24.04&amp;upstream=attr</t>
  </si>
  <si>
    <t>audit/libaudit-common</t>
  </si>
  <si>
    <t>1:3.1.2-2.1build1.1</t>
  </si>
  <si>
    <t>pkg:deb/ubuntu/libaudit-common@1:3.1.2-2.1build1.1?distro=ubuntu-24.04&amp;upstream=audit</t>
  </si>
  <si>
    <t>audit/libaudit1</t>
  </si>
  <si>
    <t>pkg:deb/ubuntu/libaudit1@1:3.1.2-2.1build1.1?distro=ubuntu-24.04&amp;upstream=audit</t>
  </si>
  <si>
    <t>base-files</t>
  </si>
  <si>
    <t>13ubuntu10.4</t>
  </si>
  <si>
    <t>pkg:deb/ubuntu/base-files@13ubuntu10.4?distro=ubuntu-24.04</t>
  </si>
  <si>
    <t>base-passwd</t>
  </si>
  <si>
    <t>3.6.3build1</t>
  </si>
  <si>
    <t>pkg:deb/ubuntu/base-passwd@3.6.3build1?distro=ubuntu-24.04</t>
  </si>
  <si>
    <t>bash</t>
  </si>
  <si>
    <t>5.2.21-2ubuntu4</t>
  </si>
  <si>
    <t>pkg:deb/ubuntu/bash@5.2.21-2ubuntu4?distro=ubuntu-24.04</t>
  </si>
  <si>
    <t>binutils/binutils-common</t>
  </si>
  <si>
    <t>2.42-4ubuntu2.10</t>
  </si>
  <si>
    <t>pkg:deb/ubuntu/binutils-common@2.42-4ubuntu2.10?distro=ubuntu-24.04&amp;upstream=binutils</t>
  </si>
  <si>
    <t>brotli/libbrotli1</t>
  </si>
  <si>
    <t>1.1.0-2build2</t>
  </si>
  <si>
    <t>pkg:deb/ubuntu/libbrotli1@1.1.0-2build2?distro=ubuntu-24.04&amp;upstream=brotli</t>
  </si>
  <si>
    <t>bzip2/libbz2-1.0</t>
  </si>
  <si>
    <t>1.0.8-5.1build0.1</t>
  </si>
  <si>
    <t>pkg:deb/ubuntu/libbz2-1.0@1.0.8-5.1build0.1?distro=ubuntu-24.04&amp;upstream=bzip2</t>
  </si>
  <si>
    <t>ca-certificates</t>
  </si>
  <si>
    <t>20260601~24.04.1</t>
  </si>
  <si>
    <t>pkg:deb/ubuntu/ca-certificates@20260601~24.04.1?distro=ubuntu-24.04</t>
  </si>
  <si>
    <t>cdebconf/libdebconfclient0</t>
  </si>
  <si>
    <t>0.271ubuntu3</t>
  </si>
  <si>
    <t>pkg:deb/ubuntu/libdebconfclient0@0.271ubuntu3?distro=ubuntu-24.04&amp;upstream=cdebconf</t>
  </si>
  <si>
    <t>coreutils</t>
  </si>
  <si>
    <t>9.4-3ubuntu6.2</t>
  </si>
  <si>
    <t>pkg:deb/ubuntu/coreutils@9.4-3ubuntu6.2?distro=ubuntu-24.04</t>
  </si>
  <si>
    <t>UBUNTU-CVE-2016-2781, UBUNTU-CVE-2025-5278, USN-8697-1</t>
  </si>
  <si>
    <t>cuda-cccl/cuda-cccl-13-0</t>
  </si>
  <si>
    <t>13.0.85-1</t>
  </si>
  <si>
    <t>pkg:deb/ubuntu/cuda-cccl-13-0@13.0.85-1?distro=ubuntu-24.04&amp;upstream=cuda-cccl</t>
  </si>
  <si>
    <t>cuda-cudart/cuda-cudart-13-0</t>
  </si>
  <si>
    <t>13.0.96-1</t>
  </si>
  <si>
    <t>pkg:deb/ubuntu/cuda-cudart-13-0@13.0.96-1?distro=ubuntu-24.04&amp;upstream=cuda-cudart</t>
  </si>
  <si>
    <t>cuda-cudart/cuda-cudart-dev-13-0</t>
  </si>
  <si>
    <t>pkg:deb/ubuntu/cuda-cudart-dev-13-0@13.0.96-1?distro=ubuntu-24.04&amp;upstream=cuda-cudart</t>
  </si>
  <si>
    <t>cuda-cudart/cuda-driver-dev-13-0</t>
  </si>
  <si>
    <t>pkg:deb/ubuntu/cuda-driver-dev-13-0@13.0.96-1?distro=ubuntu-24.04&amp;upstream=cuda-cudart</t>
  </si>
  <si>
    <t>cuda-cudart/cuda-toolkit-13-0-config-common</t>
  </si>
  <si>
    <t>pkg:deb/ubuntu/cuda-toolkit-13-0-config-common@13.0.96-1?distro=ubuntu-24.04&amp;upstream=cuda-cudart</t>
  </si>
  <si>
    <t>cuda-cudart/cuda-toolkit-13-config-common</t>
  </si>
  <si>
    <t>13.3.29-1</t>
  </si>
  <si>
    <t>pkg:deb/ubuntu/cuda-toolkit-13-config-common@13.3.29-1?distro=ubuntu-24.04&amp;upstream=cuda-cudart</t>
  </si>
  <si>
    <t>cuda-cudart/cuda-toolkit-config-common</t>
  </si>
  <si>
    <t>pkg:deb/ubuntu/cuda-toolkit-config-common@13.3.29-1?distro=ubuntu-24.04&amp;upstream=cuda-cudart</t>
  </si>
  <si>
    <t>cuda-culibos/cuda-culibos-13-0</t>
  </si>
  <si>
    <t>pkg:deb/ubuntu/cuda-culibos-13-0@13.0.85-1?distro=ubuntu-24.04&amp;upstream=cuda-culibos</t>
  </si>
  <si>
    <t>cuda-culibos/cuda-culibos-dev-13-0</t>
  </si>
  <si>
    <t>pkg:deb/ubuntu/cuda-culibos-dev-13-0@13.0.85-1?distro=ubuntu-24.04&amp;upstream=cuda-culibos</t>
  </si>
  <si>
    <t>cuda-cuobjdump/cuda-cuobjdump-13-0</t>
  </si>
  <si>
    <t>pkg:deb/ubuntu/cuda-cuobjdump-13-0@13.0.85-1?distro=ubuntu-24.04&amp;upstream=cuda-cuobjdump</t>
  </si>
  <si>
    <t>cuda-cupti/cuda-cupti-13-0</t>
  </si>
  <si>
    <t>pkg:deb/ubuntu/cuda-cupti-13-0@13.0.85-1?distro=ubuntu-24.04&amp;upstream=cuda-cupti</t>
  </si>
  <si>
    <t>cuda-cupti/cuda-cupti-dev-13-0</t>
  </si>
  <si>
    <t>pkg:deb/ubuntu/cuda-cupti-dev-13-0@13.0.85-1?distro=ubuntu-24.04&amp;upstream=cuda-cupti</t>
  </si>
  <si>
    <t>cuda-keyring</t>
  </si>
  <si>
    <t>1.1-1</t>
  </si>
  <si>
    <t>pkg:deb/ubuntu/cuda-keyring@1.1-1?distro=ubuntu-24.04</t>
  </si>
  <si>
    <t>cuda-nvdisasm/cuda-nvdisasm-13-0</t>
  </si>
  <si>
    <t>pkg:deb/ubuntu/cuda-nvdisasm-13-0@13.0.85-1?distro=ubuntu-24.04&amp;upstream=cuda-nvdisasm</t>
  </si>
  <si>
    <t>cuda-nvml-dev/cuda-nvml-dev-13-0</t>
  </si>
  <si>
    <t>13.0.87-1</t>
  </si>
  <si>
    <t>pkg:deb/ubuntu/cuda-nvml-dev-13-0@13.0.87-1?distro=ubuntu-24.04&amp;upstream=cuda-nvml-dev</t>
  </si>
  <si>
    <t>cuda-nvprune/cuda-nvprune-13-0</t>
  </si>
  <si>
    <t>pkg:deb/ubuntu/cuda-nvprune-13-0@13.0.85-1?distro=ubuntu-24.04&amp;upstream=cuda-nvprune</t>
  </si>
  <si>
    <t>cuda-nvrtc/cuda-nvrtc-13-0</t>
  </si>
  <si>
    <t>13.0.88-1</t>
  </si>
  <si>
    <t>pkg:deb/ubuntu/cuda-nvrtc-13-0@13.0.88-1?distro=ubuntu-24.04&amp;upstream=cuda-nvrtc</t>
  </si>
  <si>
    <t>cuda-nvrtc/cuda-nvrtc-dev-13-0</t>
  </si>
  <si>
    <t>pkg:deb/ubuntu/cuda-nvrtc-dev-13-0@13.0.88-1?distro=ubuntu-24.04&amp;upstream=cuda-nvrtc</t>
  </si>
  <si>
    <t>cuda-nvtx/cuda-nvtx-13-0</t>
  </si>
  <si>
    <t>pkg:deb/ubuntu/cuda-nvtx-13-0@13.0.85-1?distro=ubuntu-24.04&amp;upstream=cuda-nvtx</t>
  </si>
  <si>
    <t>cuda-profiler-api/cuda-profiler-api-13-0</t>
  </si>
  <si>
    <t>pkg:deb/ubuntu/cuda-profiler-api-13-0@13.0.85-1?distro=ubuntu-24.04&amp;upstream=cuda-profiler-api</t>
  </si>
  <si>
    <t>cudnn/libcudnn9-cuda-13</t>
  </si>
  <si>
    <t>9.24.0.43-1</t>
  </si>
  <si>
    <t>pkg:deb/ubuntu/libcudnn9-cuda-13@9.24.0.43-1?distro=ubuntu-24.04&amp;upstream=cudnn</t>
  </si>
  <si>
    <t>cudnn/libcudnn9-dev-cuda-13</t>
  </si>
  <si>
    <t>pkg:deb/ubuntu/libcudnn9-dev-cuda-13@9.24.0.43-1?distro=ubuntu-24.04&amp;upstream=cudnn</t>
  </si>
  <si>
    <t>cudnn/libcudnn9-headers-cuda-13</t>
  </si>
  <si>
    <t>pkg:deb/ubuntu/libcudnn9-headers-cuda-13@9.24.0.43-1?distro=ubuntu-24.04&amp;upstream=cudnn</t>
  </si>
  <si>
    <t>curl</t>
  </si>
  <si>
    <t>8.5.0-2ubuntu10.11</t>
  </si>
  <si>
    <t>pkg:deb/ubuntu/curl@8.5.0-2ubuntu10.11?distro=ubuntu-24.04</t>
  </si>
  <si>
    <t>UBUNTU-CVE-2026-11856, UBUNTU-CVE-2026-13608, UBUNTU-CVE-2026-18924, UBUNTU-CVE-2026-19931, UBUNTU-CVE-2026-80229, UBUNTU-CVE-2026-80230, UBUNTU-CVE-2026-80231, UBUNTU-CVE-2026-80255, UBUNTU-CVE-2026-82208, UBUNTU-CVE-2026-82209, UBUNTU-CVE-2026-8932, USN-8651-1, USN-8670-1</t>
  </si>
  <si>
    <t>curl/libcurl4-openssl-dev</t>
  </si>
  <si>
    <t>pkg:deb/ubuntu/libcurl4-openssl-dev@8.5.0-2ubuntu10.11?distro=ubuntu-24.04&amp;upstream=curl</t>
  </si>
  <si>
    <t>curl/libcurl4t64</t>
  </si>
  <si>
    <t>pkg:deb/ubuntu/libcurl4t64@8.5.0-2ubuntu10.11?distro=ubuntu-24.04&amp;upstream=curl</t>
  </si>
  <si>
    <t>cyrus-sasl2/libsasl2-2</t>
  </si>
  <si>
    <t>2.1.28+dfsg1-5ubuntu3.1</t>
  </si>
  <si>
    <t>pkg:deb/ubuntu/libsasl2-2@2.1.28%2Bdfsg1-5ubuntu3.1?distro=ubuntu-24.04&amp;upstream=cyrus-sasl2</t>
  </si>
  <si>
    <t>cyrus-sasl2/libsasl2-modules-db</t>
  </si>
  <si>
    <t>pkg:deb/ubuntu/libsasl2-modules-db@2.1.28%2Bdfsg1-5ubuntu3.1?distro=ubuntu-24.04&amp;upstream=cyrus-sasl2</t>
  </si>
  <si>
    <t>dash</t>
  </si>
  <si>
    <t>0.5.12-6ubuntu5</t>
  </si>
  <si>
    <t>pkg:deb/ubuntu/dash@0.5.12-6ubuntu5?distro=ubuntu-24.04</t>
  </si>
  <si>
    <t>datacenter-gpu-manager-4-core</t>
  </si>
  <si>
    <t>1:4.6.0-1</t>
  </si>
  <si>
    <t>pkg:deb/ubuntu/datacenter-gpu-manager-4-core@1:4.6.0-1?distro=ubuntu-24.04</t>
  </si>
  <si>
    <t>datacenter-gpu-manager-4-dev</t>
  </si>
  <si>
    <t>pkg:deb/ubuntu/datacenter-gpu-manager-4-dev@1:4.6.0-1?distro=ubuntu-24.04</t>
  </si>
  <si>
    <t>db5.3/libdb5.3t64</t>
  </si>
  <si>
    <t>5.3.28+dfsg2-7</t>
  </si>
  <si>
    <t>pkg:deb/ubuntu/libdb5.3t64@5.3.28%2Bdfsg2-7?distro=ubuntu-24.04&amp;upstream=db5.3</t>
  </si>
  <si>
    <t>dbus/libdbus-1-dev</t>
  </si>
  <si>
    <t>1.14.10-4ubuntu4.1</t>
  </si>
  <si>
    <t>pkg:deb/ubuntu/libdbus-1-dev@1.14.10-4ubuntu4.1?distro=ubuntu-24.04&amp;upstream=dbus</t>
  </si>
  <si>
    <t>debconf</t>
  </si>
  <si>
    <t>1.5.86ubuntu1</t>
  </si>
  <si>
    <t>pkg:deb/ubuntu/debconf@1.5.86ubuntu1?distro=ubuntu-24.04</t>
  </si>
  <si>
    <t>debianutils</t>
  </si>
  <si>
    <t>5.17build1</t>
  </si>
  <si>
    <t>pkg:deb/ubuntu/debianutils@5.17build1?distro=ubuntu-24.04</t>
  </si>
  <si>
    <t>diffutils</t>
  </si>
  <si>
    <t>1:3.10-1build1</t>
  </si>
  <si>
    <t>pkg:deb/ubuntu/diffutils@1:3.10-1build1?distro=ubuntu-24.04</t>
  </si>
  <si>
    <t>UBUNTU-CVE-2026-53910, USN-8692-1</t>
  </si>
  <si>
    <t>doca-sdk-common</t>
  </si>
  <si>
    <t>3.1.0105-1</t>
  </si>
  <si>
    <t>pkg:deb/ubuntu/doca-sdk-common@3.1.0105-1?distro=ubuntu-24.04</t>
  </si>
  <si>
    <t>doca-sdk-rdma</t>
  </si>
  <si>
    <t>pkg:deb/ubuntu/doca-sdk-rdma@3.1.0105-1?distro=ubuntu-24.04</t>
  </si>
  <si>
    <t>doca-sdk-verbs</t>
  </si>
  <si>
    <t>pkg:deb/ubuntu/doca-sdk-verbs@3.1.0105-1?distro=ubuntu-24.04</t>
  </si>
  <si>
    <t>dpkg</t>
  </si>
  <si>
    <t>1.22.6ubuntu6.6</t>
  </si>
  <si>
    <t>pkg:deb/ubuntu/dpkg@1.22.6ubuntu6.6?distro=ubuntu-24.04</t>
  </si>
  <si>
    <t>dpkg/dpkg-dev</t>
  </si>
  <si>
    <t>pkg:deb/ubuntu/dpkg-dev@1.22.6ubuntu6.6?distro=ubuntu-24.04&amp;upstream=dpkg</t>
  </si>
  <si>
    <t>e2fsprogs</t>
  </si>
  <si>
    <t>1.47.0-2.4~exp1ubuntu4.1</t>
  </si>
  <si>
    <t>pkg:deb/ubuntu/e2fsprogs@1.47.0-2.4~exp1ubuntu4.1?distro=ubuntu-24.04</t>
  </si>
  <si>
    <t>e2fsprogs/comerr-dev</t>
  </si>
  <si>
    <t>2.1-1.47.0-2.4~exp1ubuntu4.1</t>
  </si>
  <si>
    <t>pkg:deb/ubuntu/comerr-dev@2.1-1.47.0-2.4~exp1ubuntu4.1?distro=ubuntu-24.04&amp;upstream=e2fsprogs%401.47.0-2.4~exp1ubuntu4.1</t>
  </si>
  <si>
    <t>e2fsprogs/libcom-err2</t>
  </si>
  <si>
    <t>pkg:deb/ubuntu/libcom-err2@1.47.0-2.4~exp1ubuntu4.1?distro=ubuntu-24.04&amp;upstream=e2fsprogs</t>
  </si>
  <si>
    <t>e2fsprogs/libext2fs2t64</t>
  </si>
  <si>
    <t>pkg:deb/ubuntu/libext2fs2t64@1.47.0-2.4~exp1ubuntu4.1?distro=ubuntu-24.04&amp;upstream=e2fsprogs</t>
  </si>
  <si>
    <t>e2fsprogs/libss2</t>
  </si>
  <si>
    <t>pkg:deb/ubuntu/libss2@1.47.0-2.4~exp1ubuntu4.1?distro=ubuntu-24.04&amp;upstream=e2fsprogs</t>
  </si>
  <si>
    <t>e2fsprogs/logsave</t>
  </si>
  <si>
    <t>pkg:deb/ubuntu/logsave@1.47.0-2.4~exp1ubuntu4.1?distro=ubuntu-24.04&amp;upstream=e2fsprogs</t>
  </si>
  <si>
    <t>expat/libexpat1</t>
  </si>
  <si>
    <t>2.6.1-2ubuntu0.4</t>
  </si>
  <si>
    <t>pkg:deb/ubuntu/libexpat1@2.6.1-2ubuntu0.4?distro=ubuntu-24.04&amp;upstream=expat</t>
  </si>
  <si>
    <t>findutils</t>
  </si>
  <si>
    <t>4.9.0-5build1</t>
  </si>
  <si>
    <t>pkg:deb/ubuntu/findutils@4.9.0-5build1?distro=ubuntu-24.04</t>
  </si>
  <si>
    <t>gcc-14/gcc-14-base</t>
  </si>
  <si>
    <t>14.2.0-4ubuntu2~24.04.1</t>
  </si>
  <si>
    <t>pkg:deb/ubuntu/gcc-14-base@14.2.0-4ubuntu2~24.04.1?distro=ubuntu-24.04&amp;upstream=gcc-14</t>
  </si>
  <si>
    <t>gcc-14/libgcc-s1</t>
  </si>
  <si>
    <t>pkg:deb/ubuntu/libgcc-s1@14.2.0-4ubuntu2~24.04.1?distro=ubuntu-24.04&amp;upstream=gcc-14</t>
  </si>
  <si>
    <t>gcc-14/libgfortran5</t>
  </si>
  <si>
    <t>pkg:deb/ubuntu/libgfortran5@14.2.0-4ubuntu2~24.04.1?distro=ubuntu-24.04&amp;upstream=gcc-14</t>
  </si>
  <si>
    <t>gcc-14/libgomp1</t>
  </si>
  <si>
    <t>pkg:deb/ubuntu/libgomp1@14.2.0-4ubuntu2~24.04.1?distro=ubuntu-24.04&amp;upstream=gcc-14</t>
  </si>
  <si>
    <t>gcc-14/libstdc++6</t>
  </si>
  <si>
    <t>pkg:deb/ubuntu/libstdc%2B%2B6@14.2.0-4ubuntu2~24.04.1?distro=ubuntu-24.04&amp;upstream=gcc-14</t>
  </si>
  <si>
    <t>gcc-defaults/cpp</t>
  </si>
  <si>
    <t>4:13.2.0-7ubuntu1</t>
  </si>
  <si>
    <t>pkg:deb/ubuntu/cpp@4:13.2.0-7ubuntu1?distro=ubuntu-24.04&amp;upstream=gcc-defaults%401.214ubuntu1</t>
  </si>
  <si>
    <t>git</t>
  </si>
  <si>
    <t>1:2.43.0-1ubuntu7.3</t>
  </si>
  <si>
    <t>pkg:deb/ubuntu/git@1:2.43.0-1ubuntu7.3?distro=ubuntu-24.04</t>
  </si>
  <si>
    <t>UBUNTU-CVE-2018-1000021, UBUNTU-CVE-2024-52005</t>
  </si>
  <si>
    <t>glib2.0/libglib2.0-0t64</t>
  </si>
  <si>
    <t>2.80.0-6ubuntu3.8</t>
  </si>
  <si>
    <t>pkg:deb/ubuntu/libglib2.0-0t64@2.80.0-6ubuntu3.8?distro=ubuntu-24.04&amp;upstream=glib2.0</t>
  </si>
  <si>
    <t>glibc/libc-bin</t>
  </si>
  <si>
    <t>2.39-0ubuntu8.7</t>
  </si>
  <si>
    <t>pkg:deb/ubuntu/libc-bin@2.39-0ubuntu8.7?distro=ubuntu-24.04&amp;upstream=glibc</t>
  </si>
  <si>
    <t>glibc/libc6</t>
  </si>
  <si>
    <t>pkg:deb/ubuntu/libc6@2.39-0ubuntu8.7?distro=ubuntu-24.04&amp;upstream=glibc</t>
  </si>
  <si>
    <t>gmp/libgmp10</t>
  </si>
  <si>
    <t>2:6.3.0+dfsg-2ubuntu6.1</t>
  </si>
  <si>
    <t>pkg:deb/ubuntu/libgmp10@2:6.3.0%2Bdfsg-2ubuntu6.1?distro=ubuntu-24.04&amp;upstream=gmp</t>
  </si>
  <si>
    <t>gnupg2/dirmngr</t>
  </si>
  <si>
    <t>2.4.4-2ubuntu17.4</t>
  </si>
  <si>
    <t>pkg:deb/ubuntu/dirmngr@2.4.4-2ubuntu17.4?distro=ubuntu-24.04&amp;upstream=gnupg2</t>
  </si>
  <si>
    <t>gnupg2/gnupg</t>
  </si>
  <si>
    <t>pkg:deb/ubuntu/gnupg@2.4.4-2ubuntu17.4?distro=ubuntu-24.04&amp;upstream=gnupg2</t>
  </si>
  <si>
    <t>gnupg2/gnupg-utils</t>
  </si>
  <si>
    <t>pkg:deb/ubuntu/gnupg-utils@2.4.4-2ubuntu17.4?distro=ubuntu-24.04&amp;upstream=gnupg2</t>
  </si>
  <si>
    <t>gnupg2/gpg</t>
  </si>
  <si>
    <t>pkg:deb/ubuntu/gpg@2.4.4-2ubuntu17.4?distro=ubuntu-24.04&amp;upstream=gnupg2</t>
  </si>
  <si>
    <t>gnupg2/gpg-agent</t>
  </si>
  <si>
    <t>pkg:deb/ubuntu/gpg-agent@2.4.4-2ubuntu17.4?distro=ubuntu-24.04&amp;upstream=gnupg2</t>
  </si>
  <si>
    <t>gnupg2/gpgconf</t>
  </si>
  <si>
    <t>pkg:deb/ubuntu/gpgconf@2.4.4-2ubuntu17.4?distro=ubuntu-24.04&amp;upstream=gnupg2</t>
  </si>
  <si>
    <t>gnupg2/gpgsm</t>
  </si>
  <si>
    <t>pkg:deb/ubuntu/gpgsm@2.4.4-2ubuntu17.4?distro=ubuntu-24.04&amp;upstream=gnupg2</t>
  </si>
  <si>
    <t>gnupg2/gpgv</t>
  </si>
  <si>
    <t>pkg:deb/ubuntu/gpgv@2.4.4-2ubuntu17.4?distro=ubuntu-24.04&amp;upstream=gnupg2</t>
  </si>
  <si>
    <t>gnupg2/keyboxd</t>
  </si>
  <si>
    <t>pkg:deb/ubuntu/keyboxd@2.4.4-2ubuntu17.4?distro=ubuntu-24.04&amp;upstream=gnupg2</t>
  </si>
  <si>
    <t>gnutls28/libgnutls30t64</t>
  </si>
  <si>
    <t>3.8.3-1.1ubuntu3.6</t>
  </si>
  <si>
    <t>pkg:deb/ubuntu/libgnutls30t64@3.8.3-1.1ubuntu3.6?distro=ubuntu-24.04&amp;upstream=gnutls28</t>
  </si>
  <si>
    <t>google-perftools/libgoogle-perftools-dev</t>
  </si>
  <si>
    <t>2.15-3build1</t>
  </si>
  <si>
    <t>pkg:deb/ubuntu/libgoogle-perftools-dev@2.15-3build1?distro=ubuntu-24.04&amp;upstream=google-perftools</t>
  </si>
  <si>
    <t>google-perftools/libgoogle-perftools4t64</t>
  </si>
  <si>
    <t>pkg:deb/ubuntu/libgoogle-perftools4t64@2.15-3build1?distro=ubuntu-24.04&amp;upstream=google-perftools</t>
  </si>
  <si>
    <t>google-perftools/libtcmalloc-minimal4t64</t>
  </si>
  <si>
    <t>pkg:deb/ubuntu/libtcmalloc-minimal4t64@2.15-3build1?distro=ubuntu-24.04&amp;upstream=google-perftools</t>
  </si>
  <si>
    <t>gpm/libgpm2</t>
  </si>
  <si>
    <t>1.20.7-11</t>
  </si>
  <si>
    <t>pkg:deb/ubuntu/libgpm2@1.20.7-11?distro=ubuntu-24.04&amp;upstream=gpm</t>
  </si>
  <si>
    <t>grep</t>
  </si>
  <si>
    <t>3.11-4build1</t>
  </si>
  <si>
    <t>pkg:deb/ubuntu/grep@3.11-4build1?distro=ubuntu-24.04</t>
  </si>
  <si>
    <t>gzip</t>
  </si>
  <si>
    <t>1.12-1ubuntu3.2</t>
  </si>
  <si>
    <t>pkg:deb/ubuntu/gzip@1.12-1ubuntu3.2?distro=ubuntu-24.04</t>
  </si>
  <si>
    <t>hostname</t>
  </si>
  <si>
    <t>3.23+nmu2ubuntu2</t>
  </si>
  <si>
    <t>pkg:deb/ubuntu/hostname@3.23%2Bnmu2ubuntu2?distro=ubuntu-24.04</t>
  </si>
  <si>
    <t>hwloc/libhwloc15</t>
  </si>
  <si>
    <t>2.10.0-1build1</t>
  </si>
  <si>
    <t>pkg:deb/ubuntu/libhwloc15@2.10.0-1build1?distro=ubuntu-24.04&amp;upstream=hwloc</t>
  </si>
  <si>
    <t>icu/libicu74</t>
  </si>
  <si>
    <t>74.2-1ubuntu3.1</t>
  </si>
  <si>
    <t>pkg:deb/ubuntu/libicu74@74.2-1ubuntu3.1?distro=ubuntu-24.04&amp;upstream=icu</t>
  </si>
  <si>
    <t>init-system-helpers</t>
  </si>
  <si>
    <t>1.66ubuntu1</t>
  </si>
  <si>
    <t>pkg:deb/ubuntu/init-system-helpers@1.66ubuntu1?distro=ubuntu-24.04</t>
  </si>
  <si>
    <t>jemalloc/libjemalloc-dev</t>
  </si>
  <si>
    <t>5.3.0-2build1</t>
  </si>
  <si>
    <t>pkg:deb/ubuntu/libjemalloc-dev@5.3.0-2build1?distro=ubuntu-24.04&amp;upstream=jemalloc</t>
  </si>
  <si>
    <t>jemalloc/libjemalloc2</t>
  </si>
  <si>
    <t>pkg:deb/ubuntu/libjemalloc2@5.3.0-2build1?distro=ubuntu-24.04&amp;upstream=jemalloc</t>
  </si>
  <si>
    <t>keyutils/libkeyutils1</t>
  </si>
  <si>
    <t>1.6.3-3build1</t>
  </si>
  <si>
    <t>pkg:deb/ubuntu/libkeyutils1@1.6.3-3build1?distro=ubuntu-24.04&amp;upstream=keyutils</t>
  </si>
  <si>
    <t>krb5/libgssapi-krb5-2</t>
  </si>
  <si>
    <t>1.20.1-6ubuntu2.6</t>
  </si>
  <si>
    <t>pkg:deb/ubuntu/libgssapi-krb5-2@1.20.1-6ubuntu2.6?distro=ubuntu-24.04&amp;upstream=krb5</t>
  </si>
  <si>
    <t>krb5/libk5crypto3</t>
  </si>
  <si>
    <t>pkg:deb/ubuntu/libk5crypto3@1.20.1-6ubuntu2.6?distro=ubuntu-24.04&amp;upstream=krb5</t>
  </si>
  <si>
    <t>krb5/libkrb5-3</t>
  </si>
  <si>
    <t>pkg:deb/ubuntu/libkrb5-3@1.20.1-6ubuntu2.6?distro=ubuntu-24.04&amp;upstream=krb5</t>
  </si>
  <si>
    <t>krb5/libkrb5support0</t>
  </si>
  <si>
    <t>pkg:deb/ubuntu/libkrb5support0@1.20.1-6ubuntu2.6?distro=ubuntu-24.04&amp;upstream=krb5</t>
  </si>
  <si>
    <t>less</t>
  </si>
  <si>
    <t>590-2ubuntu2.1</t>
  </si>
  <si>
    <t>pkg:deb/ubuntu/less@590-2ubuntu2.1?distro=ubuntu-24.04</t>
  </si>
  <si>
    <t>libarchive/libarchive13t64</t>
  </si>
  <si>
    <t>3.7.2-2ubuntu0.7</t>
  </si>
  <si>
    <t>pkg:deb/ubuntu/libarchive13t64@3.7.2-2ubuntu0.7?distro=ubuntu-24.04&amp;upstream=libarchive</t>
  </si>
  <si>
    <t>libassuan/libassuan0</t>
  </si>
  <si>
    <t>2.5.6-1build1</t>
  </si>
  <si>
    <t>pkg:deb/ubuntu/libassuan0@2.5.6-1build1?distro=ubuntu-24.04&amp;upstream=libassuan</t>
  </si>
  <si>
    <t>libb64/libb64-0d</t>
  </si>
  <si>
    <t>1.2-5</t>
  </si>
  <si>
    <t>pkg:deb/ubuntu/libb64-0d@1.2-5?distro=ubuntu-24.04&amp;upstream=libb64</t>
  </si>
  <si>
    <t>libbsd/libbsd0</t>
  </si>
  <si>
    <t>0.12.1-1build1.1</t>
  </si>
  <si>
    <t>pkg:deb/ubuntu/libbsd0@0.12.1-1build1.1?distro=ubuntu-24.04&amp;upstream=libbsd</t>
  </si>
  <si>
    <t>libcap-ng/libcap-ng0</t>
  </si>
  <si>
    <t>0.8.4-2build2</t>
  </si>
  <si>
    <t>pkg:deb/ubuntu/libcap-ng0@0.8.4-2build2?distro=ubuntu-24.04&amp;upstream=libcap-ng</t>
  </si>
  <si>
    <t>libcap2</t>
  </si>
  <si>
    <t>1:2.66-5ubuntu2.4</t>
  </si>
  <si>
    <t>pkg:deb/ubuntu/libcap2@1:2.66-5ubuntu2.4?distro=ubuntu-24.04</t>
  </si>
  <si>
    <t>libcublas/libcublas-13-0</t>
  </si>
  <si>
    <t>13.1.1.3-1</t>
  </si>
  <si>
    <t>pkg:deb/ubuntu/libcublas-13-0@13.1.1.3-1?distro=ubuntu-24.04&amp;upstream=libcublas</t>
  </si>
  <si>
    <t>libcublas/libcublas-dev-13-0</t>
  </si>
  <si>
    <t>pkg:deb/ubuntu/libcublas-dev-13-0@13.1.1.3-1?distro=ubuntu-24.04&amp;upstream=libcublas</t>
  </si>
  <si>
    <t>libcufft/libcufft-13-0</t>
  </si>
  <si>
    <t>12.0.0.61-1</t>
  </si>
  <si>
    <t>pkg:deb/ubuntu/libcufft-13-0@12.0.0.61-1?distro=ubuntu-24.04&amp;upstream=libcufft</t>
  </si>
  <si>
    <t>libcufft/libcufft-dev-13-0</t>
  </si>
  <si>
    <t>pkg:deb/ubuntu/libcufft-dev-13-0@12.0.0.61-1?distro=ubuntu-24.04&amp;upstream=libcufft</t>
  </si>
  <si>
    <t>libcufile/libcufile-13-0</t>
  </si>
  <si>
    <t>1.15.1.6-1</t>
  </si>
  <si>
    <t>pkg:deb/ubuntu/libcufile-13-0@1.15.1.6-1?distro=ubuntu-24.04&amp;upstream=libcufile</t>
  </si>
  <si>
    <t>libcufile/libcufile-dev-13-0</t>
  </si>
  <si>
    <t>pkg:deb/ubuntu/libcufile-dev-13-0@1.15.1.6-1?distro=ubuntu-24.04&amp;upstream=libcufile</t>
  </si>
  <si>
    <t>libcurand/libcurand-13-0</t>
  </si>
  <si>
    <t>10.4.0.35-1</t>
  </si>
  <si>
    <t>pkg:deb/ubuntu/libcurand-13-0@10.4.0.35-1?distro=ubuntu-24.04&amp;upstream=libcurand</t>
  </si>
  <si>
    <t>libcurand/libcurand-dev-13-0</t>
  </si>
  <si>
    <t>pkg:deb/ubuntu/libcurand-dev-13-0@10.4.0.35-1?distro=ubuntu-24.04&amp;upstream=libcurand</t>
  </si>
  <si>
    <t>libcusolver/libcusolver-13-0</t>
  </si>
  <si>
    <t>12.0.4.66-1</t>
  </si>
  <si>
    <t>pkg:deb/ubuntu/libcusolver-13-0@12.0.4.66-1?distro=ubuntu-24.04&amp;upstream=libcusolver</t>
  </si>
  <si>
    <t>libcusolver/libcusolver-dev-13-0</t>
  </si>
  <si>
    <t>pkg:deb/ubuntu/libcusolver-dev-13-0@12.0.4.66-1?distro=ubuntu-24.04&amp;upstream=libcusolver</t>
  </si>
  <si>
    <t>libcusparse-lt/libcusparselt0-cuda-13</t>
  </si>
  <si>
    <t>0.9.1.1-1</t>
  </si>
  <si>
    <t>pkg:deb/ubuntu/libcusparselt0-cuda-13@0.9.1.1-1?distro=ubuntu-24.04&amp;upstream=libcusparse-lt</t>
  </si>
  <si>
    <t>libcusparse-lt/libcusparselt0-dev-cuda-13</t>
  </si>
  <si>
    <t>pkg:deb/ubuntu/libcusparselt0-dev-cuda-13@0.9.1.1-1?distro=ubuntu-24.04&amp;upstream=libcusparse-lt</t>
  </si>
  <si>
    <t>libcusparse/libcusparse-13-0</t>
  </si>
  <si>
    <t>12.6.3.3-1</t>
  </si>
  <si>
    <t>pkg:deb/ubuntu/libcusparse-13-0@12.6.3.3-1?distro=ubuntu-24.04&amp;upstream=libcusparse</t>
  </si>
  <si>
    <t>libcusparse/libcusparse-dev-13-0</t>
  </si>
  <si>
    <t>pkg:deb/ubuntu/libcusparse-dev-13-0@12.6.3.3-1?distro=ubuntu-24.04&amp;upstream=libcusparse</t>
  </si>
  <si>
    <t>libedit/libedit2</t>
  </si>
  <si>
    <t>3.1-20230828-1build1</t>
  </si>
  <si>
    <t>pkg:deb/ubuntu/libedit2@3.1-20230828-1build1?distro=ubuntu-24.04&amp;upstream=libedit</t>
  </si>
  <si>
    <t>libfabric/libfabric-aws-bin</t>
  </si>
  <si>
    <t>1.22.0amzn5.0</t>
  </si>
  <si>
    <t>pkg:deb/ubuntu/libfabric-aws-bin@1.22.0amzn5.0?distro=ubuntu-24.04&amp;upstream=libfabric</t>
  </si>
  <si>
    <t>libfabric/libfabric-aws-dev</t>
  </si>
  <si>
    <t>pkg:deb/ubuntu/libfabric-aws-dev@1.22.0amzn5.0?distro=ubuntu-24.04&amp;upstream=libfabric</t>
  </si>
  <si>
    <t>libfabric/libfabric1-aws</t>
  </si>
  <si>
    <t>pkg:deb/ubuntu/libfabric1-aws@1.22.0amzn5.0?distro=ubuntu-24.04&amp;upstream=libfabric</t>
  </si>
  <si>
    <t>libffi/libffi8</t>
  </si>
  <si>
    <t>3.4.6-1build1</t>
  </si>
  <si>
    <t>pkg:deb/ubuntu/libffi8@3.4.6-1build1?distro=ubuntu-24.04&amp;upstream=libffi</t>
  </si>
  <si>
    <t>libgcrypt20</t>
  </si>
  <si>
    <t>1.10.3-2ubuntu0.1</t>
  </si>
  <si>
    <t>pkg:deb/ubuntu/libgcrypt20@1.10.3-2ubuntu0.1?distro=ubuntu-24.04</t>
  </si>
  <si>
    <t>USN-8711-1</t>
  </si>
  <si>
    <t>libgdrapi</t>
  </si>
  <si>
    <t>2.5.1</t>
  </si>
  <si>
    <t>pkg:deb/ubuntu/libgdrapi@2.5.1?distro=ubuntu-24.04</t>
  </si>
  <si>
    <t>libgpg-error/libgpg-error0</t>
  </si>
  <si>
    <t>1.47-3build2.1</t>
  </si>
  <si>
    <t>pkg:deb/ubuntu/libgpg-error0@1.47-3build2.1?distro=ubuntu-24.04&amp;upstream=libgpg-error</t>
  </si>
  <si>
    <t>libidn2/libidn2-0</t>
  </si>
  <si>
    <t>2.3.7-2build1.1</t>
  </si>
  <si>
    <t>pkg:deb/ubuntu/libidn2-0@2.3.7-2build1.1?distro=ubuntu-24.04&amp;upstream=libidn2</t>
  </si>
  <si>
    <t>libksba/libksba8</t>
  </si>
  <si>
    <t>1.6.6-1build1</t>
  </si>
  <si>
    <t>pkg:deb/ubuntu/libksba8@1.6.6-1build1?distro=ubuntu-24.04&amp;upstream=libksba</t>
  </si>
  <si>
    <t>libmd/libmd0</t>
  </si>
  <si>
    <t>1.1.0-2build1.1</t>
  </si>
  <si>
    <t>pkg:deb/ubuntu/libmd0@1.1.0-2build1.1?distro=ubuntu-24.04&amp;upstream=libmd</t>
  </si>
  <si>
    <t>libnl3/libnl-3-200</t>
  </si>
  <si>
    <t>3.7.0-0.3build1.1</t>
  </si>
  <si>
    <t>pkg:deb/ubuntu/libnl-3-200@3.7.0-0.3build1.1?distro=ubuntu-24.04&amp;upstream=libnl3</t>
  </si>
  <si>
    <t>libnl3/libnl-3-dev</t>
  </si>
  <si>
    <t>pkg:deb/ubuntu/libnl-3-dev@3.7.0-0.3build1.1?distro=ubuntu-24.04&amp;upstream=libnl3</t>
  </si>
  <si>
    <t>libnl3/libnl-route-3-200</t>
  </si>
  <si>
    <t>pkg:deb/ubuntu/libnl-route-3-200@3.7.0-0.3build1.1?distro=ubuntu-24.04&amp;upstream=libnl3</t>
  </si>
  <si>
    <t>libnl3/libnl-route-3-dev</t>
  </si>
  <si>
    <t>pkg:deb/ubuntu/libnl-route-3-dev@3.7.0-0.3build1.1?distro=ubuntu-24.04&amp;upstream=libnl3</t>
  </si>
  <si>
    <t>libnpp/libnpp-13-0</t>
  </si>
  <si>
    <t>13.0.1.2-1</t>
  </si>
  <si>
    <t>pkg:deb/ubuntu/libnpp-13-0@13.0.1.2-1?distro=ubuntu-24.04&amp;upstream=libnpp</t>
  </si>
  <si>
    <t>libnpp/libnpp-dev-13-0</t>
  </si>
  <si>
    <t>pkg:deb/ubuntu/libnpp-dev-13-0@13.0.1.2-1?distro=ubuntu-24.04&amp;upstream=libnpp</t>
  </si>
  <si>
    <t>libnvfatbin/libnvfatbin-13-0</t>
  </si>
  <si>
    <t>pkg:deb/ubuntu/libnvfatbin-13-0@13.0.85-1?distro=ubuntu-24.04&amp;upstream=libnvfatbin</t>
  </si>
  <si>
    <t>libnvjitlink/libnvjitlink-13-0</t>
  </si>
  <si>
    <t>pkg:deb/ubuntu/libnvjitlink-13-0@13.0.88-1?distro=ubuntu-24.04&amp;upstream=libnvjitlink</t>
  </si>
  <si>
    <t>libnvjitlink/libnvjitlink-dev-13-0</t>
  </si>
  <si>
    <t>pkg:deb/ubuntu/libnvjitlink-dev-13-0@13.0.88-1?distro=ubuntu-24.04&amp;upstream=libnvjitlink</t>
  </si>
  <si>
    <t>libnvjpeg/libnvjpeg-13-0</t>
  </si>
  <si>
    <t>13.0.1.86-1</t>
  </si>
  <si>
    <t>pkg:deb/ubuntu/libnvjpeg-13-0@13.0.1.86-1?distro=ubuntu-24.04&amp;upstream=libnvjpeg</t>
  </si>
  <si>
    <t>libnvjpeg/libnvjpeg-dev-13-0</t>
  </si>
  <si>
    <t>pkg:deb/ubuntu/libnvjpeg-dev-13-0@13.0.1.86-1?distro=ubuntu-24.04&amp;upstream=libnvjpeg</t>
  </si>
  <si>
    <t>libnvptxcompiler/libnvptxcompiler-13-0</t>
  </si>
  <si>
    <t>pkg:deb/ubuntu/libnvptxcompiler-13-0@13.0.88-1?distro=ubuntu-24.04&amp;upstream=libnvptxcompiler</t>
  </si>
  <si>
    <t>libnvshmem/libnvshmem3-cuda-13</t>
  </si>
  <si>
    <t>3.7.2-1</t>
  </si>
  <si>
    <t>pkg:deb/ubuntu/libnvshmem3-cuda-13@3.7.2-1?distro=ubuntu-24.04&amp;upstream=libnvshmem</t>
  </si>
  <si>
    <t>libnvvm/libnvvm-13-0</t>
  </si>
  <si>
    <t>pkg:deb/ubuntu/libnvvm-13-0@13.0.88-1?distro=ubuntu-24.04&amp;upstream=libnvvm</t>
  </si>
  <si>
    <t>libpsl/libpsl5t64</t>
  </si>
  <si>
    <t>0.21.2-1.1build1</t>
  </si>
  <si>
    <t>pkg:deb/ubuntu/libpsl5t64@0.21.2-1.1build1?distro=ubuntu-24.04&amp;upstream=libpsl</t>
  </si>
  <si>
    <t>libseccomp/libseccomp2</t>
  </si>
  <si>
    <t>2.5.5-1ubuntu3.1</t>
  </si>
  <si>
    <t>pkg:deb/ubuntu/libseccomp2@2.5.5-1ubuntu3.1?distro=ubuntu-24.04&amp;upstream=libseccomp</t>
  </si>
  <si>
    <t>libselinux/libselinux1</t>
  </si>
  <si>
    <t>3.5-2ubuntu2.1</t>
  </si>
  <si>
    <t>pkg:deb/ubuntu/libselinux1@3.5-2ubuntu2.1?distro=ubuntu-24.04&amp;upstream=libselinux</t>
  </si>
  <si>
    <t>libsemanage/libsemanage-common</t>
  </si>
  <si>
    <t>3.5-1build5</t>
  </si>
  <si>
    <t>pkg:deb/ubuntu/libsemanage-common@3.5-1build5?distro=ubuntu-24.04&amp;upstream=libsemanage</t>
  </si>
  <si>
    <t>libsemanage/libsemanage2</t>
  </si>
  <si>
    <t>pkg:deb/ubuntu/libsemanage2@3.5-1build5?distro=ubuntu-24.04&amp;upstream=libsemanage</t>
  </si>
  <si>
    <t>libsepol/libsepol2</t>
  </si>
  <si>
    <t>3.5-2build1</t>
  </si>
  <si>
    <t>pkg:deb/ubuntu/libsepol2@3.5-2build1?distro=ubuntu-24.04&amp;upstream=libsepol</t>
  </si>
  <si>
    <t>libssh/libssh-4</t>
  </si>
  <si>
    <t>0.10.6-2ubuntu0.4</t>
  </si>
  <si>
    <t>pkg:deb/ubuntu/libssh-4@0.10.6-2ubuntu0.4?distro=ubuntu-24.04&amp;upstream=libssh</t>
  </si>
  <si>
    <t>libtasn1-6</t>
  </si>
  <si>
    <t>4.19.0-3ubuntu0.24.04.2</t>
  </si>
  <si>
    <t>pkg:deb/ubuntu/libtasn1-6@4.19.0-3ubuntu0.24.04.2?distro=ubuntu-24.04</t>
  </si>
  <si>
    <t>libunistring/libunistring5</t>
  </si>
  <si>
    <t>1.1-2build1.1</t>
  </si>
  <si>
    <t>pkg:deb/ubuntu/libunistring5@1.1-2build1.1?distro=ubuntu-24.04&amp;upstream=libunistring</t>
  </si>
  <si>
    <t>libxcrypt/libcrypt-dev</t>
  </si>
  <si>
    <t>1:4.4.36-4build1</t>
  </si>
  <si>
    <t>pkg:deb/ubuntu/libcrypt-dev@1:4.4.36-4build1?distro=ubuntu-24.04&amp;upstream=libxcrypt</t>
  </si>
  <si>
    <t>libxcrypt/libcrypt1</t>
  </si>
  <si>
    <t>pkg:deb/ubuntu/libcrypt1@1:4.4.36-4build1?distro=ubuntu-24.04&amp;upstream=libxcrypt</t>
  </si>
  <si>
    <t>libxml2</t>
  </si>
  <si>
    <t>2.9.14+dfsg-1.3ubuntu3.8</t>
  </si>
  <si>
    <t>pkg:deb/ubuntu/libxml2@2.9.14%2Bdfsg-1.3ubuntu3.8?distro=ubuntu-24.04</t>
  </si>
  <si>
    <t>UBUNTU-CVE-2026-11979, UBUNTU-CVE-2026-86137, UBUNTU-CVE-2026-86138, UBUNTU-CVE-2026-86139, UBUNTU-CVE-2026-86140, UBUNTU-CVE-2026-86141, UBUNTU-CVE-2026-86142, UBUNTU-CVE-2026-86143, UBUNTU-CVE-2026-86144</t>
  </si>
  <si>
    <t>libzstd/libzstd1</t>
  </si>
  <si>
    <t>1.5.5+dfsg2-2build1.1</t>
  </si>
  <si>
    <t>pkg:deb/ubuntu/libzstd1@1.5.5%2Bdfsg2-2build1.1?distro=ubuntu-24.04&amp;upstream=libzstd</t>
  </si>
  <si>
    <t>lshw</t>
  </si>
  <si>
    <t>02.19.git.2021.06.19.996aaad9c7-2ubuntu0.24.04.1</t>
  </si>
  <si>
    <t>pkg:deb/ubuntu/lshw@02.19.git.2021.06.19.996aaad9c7-2ubuntu0.24.04.1?distro=ubuntu-24.04</t>
  </si>
  <si>
    <t>lz4/liblz4-1</t>
  </si>
  <si>
    <t>1.9.4-1build1.1</t>
  </si>
  <si>
    <t>pkg:deb/ubuntu/liblz4-1@1.9.4-1build1.1?distro=ubuntu-24.04&amp;upstream=lz4</t>
  </si>
  <si>
    <t>mawk</t>
  </si>
  <si>
    <t>1.3.4.20240123-1build1</t>
  </si>
  <si>
    <t>pkg:deb/ubuntu/mawk@1.3.4.20240123-1build1?distro=ubuntu-24.04</t>
  </si>
  <si>
    <t>media-types</t>
  </si>
  <si>
    <t>10.1.0</t>
  </si>
  <si>
    <t>pkg:deb/ubuntu/media-types@10.1.0?distro=ubuntu-24.04</t>
  </si>
  <si>
    <t>mlnx-dpdk</t>
  </si>
  <si>
    <t>22.11.0-2507.1.0.2507097</t>
  </si>
  <si>
    <t>pkg:deb/ubuntu/mlnx-dpdk@22.11.0-2507.1.0.2507097?distro=ubuntu-24.04</t>
  </si>
  <si>
    <t>nano</t>
  </si>
  <si>
    <t>7.2-2ubuntu0.2</t>
  </si>
  <si>
    <t>pkg:deb/ubuntu/nano@7.2-2ubuntu0.2?distro=ubuntu-24.04</t>
  </si>
  <si>
    <t>UBUNTU-CVE-2026-6390</t>
  </si>
  <si>
    <t>nccl/libnccl-dev</t>
  </si>
  <si>
    <t>2.30.7-1+cuda13.3</t>
  </si>
  <si>
    <t>pkg:deb/ubuntu/libnccl-dev@2.30.7-1%2Bcuda13.3?distro=ubuntu-24.04&amp;upstream=nccl</t>
  </si>
  <si>
    <t>nccl/libnccl2</t>
  </si>
  <si>
    <t>pkg:deb/ubuntu/libnccl2@2.30.7-1%2Bcuda13.3?distro=ubuntu-24.04&amp;upstream=nccl</t>
  </si>
  <si>
    <t>ncurses/libncurses6</t>
  </si>
  <si>
    <t>6.4+20240113-1ubuntu2.1</t>
  </si>
  <si>
    <t>pkg:deb/ubuntu/libncurses6@6.4%2B20240113-1ubuntu2.1?distro=ubuntu-24.04&amp;upstream=ncurses</t>
  </si>
  <si>
    <t>ncurses/libncursesw6</t>
  </si>
  <si>
    <t>pkg:deb/ubuntu/libncursesw6@6.4%2B20240113-1ubuntu2.1?distro=ubuntu-24.04&amp;upstream=ncurses</t>
  </si>
  <si>
    <t>ncurses/libtinfo6</t>
  </si>
  <si>
    <t>pkg:deb/ubuntu/libtinfo6@6.4%2B20240113-1ubuntu2.1?distro=ubuntu-24.04&amp;upstream=ncurses</t>
  </si>
  <si>
    <t>ncurses/ncurses-base</t>
  </si>
  <si>
    <t>pkg:deb/ubuntu/ncurses-base@6.4%2B20240113-1ubuntu2.1?distro=ubuntu-24.04&amp;upstream=ncurses</t>
  </si>
  <si>
    <t>ncurses/ncurses-bin</t>
  </si>
  <si>
    <t>pkg:deb/ubuntu/ncurses-bin@6.4%2B20240113-1ubuntu2.1?distro=ubuntu-24.04&amp;upstream=ncurses</t>
  </si>
  <si>
    <t>netbase</t>
  </si>
  <si>
    <t>6.4</t>
  </si>
  <si>
    <t>pkg:deb/ubuntu/netbase@6.4?distro=ubuntu-24.04</t>
  </si>
  <si>
    <t>nettle/libhogweed6t64</t>
  </si>
  <si>
    <t>3.9.1-2.2build1.1</t>
  </si>
  <si>
    <t>pkg:deb/ubuntu/libhogweed6t64@3.9.1-2.2build1.1?distro=ubuntu-24.04&amp;upstream=nettle</t>
  </si>
  <si>
    <t>nettle/libnettle8t64</t>
  </si>
  <si>
    <t>pkg:deb/ubuntu/libnettle8t64@3.9.1-2.2build1.1?distro=ubuntu-24.04&amp;upstream=nettle</t>
  </si>
  <si>
    <t>nghttp2/libnghttp2-14</t>
  </si>
  <si>
    <t>1.59.0-1ubuntu0.4</t>
  </si>
  <si>
    <t>pkg:deb/ubuntu/libnghttp2-14@1.59.0-1ubuntu0.4?distro=ubuntu-24.04&amp;upstream=nghttp2</t>
  </si>
  <si>
    <t>npth/libnpth0t64</t>
  </si>
  <si>
    <t>1.6-3.1build1</t>
  </si>
  <si>
    <t>pkg:deb/ubuntu/libnpth0t64@1.6-3.1build1?distro=ubuntu-24.04&amp;upstream=npth</t>
  </si>
  <si>
    <t>numactl</t>
  </si>
  <si>
    <t>2.0.18-1ubuntu0.24.04.1</t>
  </si>
  <si>
    <t>pkg:deb/ubuntu/numactl@2.0.18-1ubuntu0.24.04.1?distro=ubuntu-24.04</t>
  </si>
  <si>
    <t>numactl/libnuma1</t>
  </si>
  <si>
    <t>pkg:deb/ubuntu/libnuma1@2.0.18-1ubuntu0.24.04.1?distro=ubuntu-24.04&amp;upstream=numactl</t>
  </si>
  <si>
    <t>nvidia-graphics-drivers-580/cuda-compat-13-0</t>
  </si>
  <si>
    <t>580.173.02-1ubuntu1</t>
  </si>
  <si>
    <t>pkg:deb/ubuntu/cuda-compat-13-0@580.173.02-1ubuntu1?distro=ubuntu-24.04&amp;upstream=nvidia-graphics-drivers-580</t>
  </si>
  <si>
    <t>openldap/libldap2</t>
  </si>
  <si>
    <t>2.6.10+dfsg-0ubuntu0.24.04.1</t>
  </si>
  <si>
    <t>pkg:deb/ubuntu/libldap2@2.6.10%2Bdfsg-0ubuntu0.24.04.1?distro=ubuntu-24.04&amp;upstream=openldap</t>
  </si>
  <si>
    <t>openssh/openssh-client</t>
  </si>
  <si>
    <t>1:9.6p1-3ubuntu13.18</t>
  </si>
  <si>
    <t>pkg:deb/ubuntu/openssh-client@1:9.6p1-3ubuntu13.18?distro=ubuntu-24.04&amp;upstream=openssh</t>
  </si>
  <si>
    <t>openssl</t>
  </si>
  <si>
    <t>3.0.13-0ubuntu3.11</t>
  </si>
  <si>
    <t>pkg:deb/ubuntu/openssl@3.0.13-0ubuntu3.11?distro=ubuntu-24.04</t>
  </si>
  <si>
    <t>UBUNTU-CVE-2026-54874, UBUNTU-CVE-2026-63072, USN-8625-1, USN-8678-1</t>
  </si>
  <si>
    <t>openssl/libssl3t64</t>
  </si>
  <si>
    <t>pkg:deb/ubuntu/libssl3t64@3.0.13-0ubuntu3.11?distro=ubuntu-24.04&amp;upstream=openssl</t>
  </si>
  <si>
    <t>p11-kit/libp11-kit0</t>
  </si>
  <si>
    <t>0.25.3-4ubuntu2.1</t>
  </si>
  <si>
    <t>pkg:deb/ubuntu/libp11-kit0@0.25.3-4ubuntu2.1?distro=ubuntu-24.04&amp;upstream=p11-kit</t>
  </si>
  <si>
    <t>pam/libpam-modules</t>
  </si>
  <si>
    <t>1.5.3-5ubuntu5.5</t>
  </si>
  <si>
    <t>pkg:deb/ubuntu/libpam-modules@1.5.3-5ubuntu5.5?distro=ubuntu-24.04&amp;upstream=pam</t>
  </si>
  <si>
    <t>pam/libpam-modules-bin</t>
  </si>
  <si>
    <t>pkg:deb/ubuntu/libpam-modules-bin@1.5.3-5ubuntu5.5?distro=ubuntu-24.04&amp;upstream=pam</t>
  </si>
  <si>
    <t>pam/libpam-runtime</t>
  </si>
  <si>
    <t>pkg:deb/ubuntu/libpam-runtime@1.5.3-5ubuntu5.5?distro=ubuntu-24.04&amp;upstream=pam</t>
  </si>
  <si>
    <t>pam/libpam0g</t>
  </si>
  <si>
    <t>pkg:deb/ubuntu/libpam0g@1.5.3-5ubuntu5.5?distro=ubuntu-24.04&amp;upstream=pam</t>
  </si>
  <si>
    <t>pci.ids</t>
  </si>
  <si>
    <t>0.0~2024.03.31-1ubuntu0.1</t>
  </si>
  <si>
    <t>pkg:deb/ubuntu/pci.ids@0.0~2024.03.31-1ubuntu0.1?distro=ubuntu-24.04</t>
  </si>
  <si>
    <t>pciutils</t>
  </si>
  <si>
    <t>1:3.10.0-2build1</t>
  </si>
  <si>
    <t>pkg:deb/ubuntu/pciutils@1:3.10.0-2build1?distro=ubuntu-24.04</t>
  </si>
  <si>
    <t>pcre2/libpcre2-8-0</t>
  </si>
  <si>
    <t>10.42-4ubuntu2.1</t>
  </si>
  <si>
    <t>pkg:deb/ubuntu/libpcre2-8-0@10.42-4ubuntu2.1?distro=ubuntu-24.04&amp;upstream=pcre2</t>
  </si>
  <si>
    <t>perl</t>
  </si>
  <si>
    <t>5.38.2-3.2ubuntu0.3</t>
  </si>
  <si>
    <t>pkg:deb/ubuntu/perl@5.38.2-3.2ubuntu0.3?distro=ubuntu-24.04</t>
  </si>
  <si>
    <t>UBUNTU-CVE-2025-15649, UBUNTU-CVE-2026-12087, UBUNTU-CVE-2026-13221, UBUNTU-CVE-2026-15534, UBUNTU-CVE-2026-19487, UBUNTU-CVE-2026-48959, UBUNTU-CVE-2026-48962, UBUNTU-CVE-2026-57432, UBUNTU-CVE-2026-57433, UBUNTU-CVE-2026-7017, UBUNTU-CVE-2026-9538, USN-8684-1</t>
  </si>
  <si>
    <t>perl/perl-base</t>
  </si>
  <si>
    <t>pkg:deb/ubuntu/perl-base@5.38.2-3.2ubuntu0.3?distro=ubuntu-24.04&amp;upstream=perl</t>
  </si>
  <si>
    <t>pinentry/pinentry-curses</t>
  </si>
  <si>
    <t>1.2.1-3ubuntu5</t>
  </si>
  <si>
    <t>pkg:deb/ubuntu/pinentry-curses@1.2.1-3ubuntu5?distro=ubuntu-24.04&amp;upstream=pinentry</t>
  </si>
  <si>
    <t>pkgconf</t>
  </si>
  <si>
    <t>1.8.1-2build1</t>
  </si>
  <si>
    <t>pkg:deb/ubuntu/pkgconf@1.8.1-2build1?distro=ubuntu-24.04</t>
  </si>
  <si>
    <t>procps</t>
  </si>
  <si>
    <t>2:4.0.4-4ubuntu3.2</t>
  </si>
  <si>
    <t>pkg:deb/ubuntu/procps@2:4.0.4-4ubuntu3.2?distro=ubuntu-24.04</t>
  </si>
  <si>
    <t>procps/libproc2-0</t>
  </si>
  <si>
    <t>pkg:deb/ubuntu/libproc2-0@2:4.0.4-4ubuntu3.2?distro=ubuntu-24.04&amp;upstream=procps</t>
  </si>
  <si>
    <t>python-pip/python3-pip</t>
  </si>
  <si>
    <t>24.0+dfsg-1ubuntu1.3</t>
  </si>
  <si>
    <t>pkg:deb/ubuntu/python3-pip@24.0%2Bdfsg-1ubuntu1.3?distro=ubuntu-24.04&amp;upstream=python-pip</t>
  </si>
  <si>
    <t>python3-defaults/libpython3-stdlib</t>
  </si>
  <si>
    <t>3.12.3-0ubuntu2.1</t>
  </si>
  <si>
    <t>pkg:deb/ubuntu/libpython3-stdlib@3.12.3-0ubuntu2.1?distro=ubuntu-24.04&amp;upstream=python3-defaults</t>
  </si>
  <si>
    <t>python3-defaults/python3</t>
  </si>
  <si>
    <t>pkg:deb/ubuntu/python3@3.12.3-0ubuntu2.1?distro=ubuntu-24.04&amp;upstream=python3-defaults</t>
  </si>
  <si>
    <t>python3-defaults/python3-minimal</t>
  </si>
  <si>
    <t>pkg:deb/ubuntu/python3-minimal@3.12.3-0ubuntu2.1?distro=ubuntu-24.04&amp;upstream=python3-defaults</t>
  </si>
  <si>
    <t>python3.12</t>
  </si>
  <si>
    <t>3.12.3-1ubuntu0.15</t>
  </si>
  <si>
    <t>pkg:deb/ubuntu/python3.12@3.12.3-1ubuntu0.15?distro=ubuntu-24.04</t>
  </si>
  <si>
    <t>python3.12/libpython3.12-minimal</t>
  </si>
  <si>
    <t>pkg:deb/ubuntu/libpython3.12-minimal@3.12.3-1ubuntu0.15?distro=ubuntu-24.04&amp;upstream=python3.12</t>
  </si>
  <si>
    <t>python3.12/libpython3.12-stdlib</t>
  </si>
  <si>
    <t>pkg:deb/ubuntu/libpython3.12-stdlib@3.12.3-1ubuntu0.15?distro=ubuntu-24.04&amp;upstream=python3.12</t>
  </si>
  <si>
    <t>python3.12/libpython3.12t64</t>
  </si>
  <si>
    <t>pkg:deb/ubuntu/libpython3.12t64@3.12.3-1ubuntu0.15?distro=ubuntu-24.04&amp;upstream=python3.12</t>
  </si>
  <si>
    <t>python3.12/python3.12-minimal</t>
  </si>
  <si>
    <t>pkg:deb/ubuntu/python3.12-minimal@3.12.3-1ubuntu0.15?distro=ubuntu-24.04&amp;upstream=python3.12</t>
  </si>
  <si>
    <t>rdma-core/ibverbs-providers</t>
  </si>
  <si>
    <t>56.0-1</t>
  </si>
  <si>
    <t>pkg:deb/ubuntu/ibverbs-providers@56.0-1?distro=ubuntu-24.04&amp;upstream=rdma-core</t>
  </si>
  <si>
    <t>rdma-core/ibverbs-utils</t>
  </si>
  <si>
    <t>pkg:deb/ubuntu/ibverbs-utils@56.0-1?distro=ubuntu-24.04&amp;upstream=rdma-core</t>
  </si>
  <si>
    <t>rdma-core/libibumad-dev</t>
  </si>
  <si>
    <t>pkg:deb/ubuntu/libibumad-dev@56.0-1?distro=ubuntu-24.04&amp;upstream=rdma-core</t>
  </si>
  <si>
    <t>rdma-core/libibumad3</t>
  </si>
  <si>
    <t>pkg:deb/ubuntu/libibumad3@56.0-1?distro=ubuntu-24.04&amp;upstream=rdma-core</t>
  </si>
  <si>
    <t>rdma-core/libibverbs-dev</t>
  </si>
  <si>
    <t>pkg:deb/ubuntu/libibverbs-dev@56.0-1?distro=ubuntu-24.04&amp;upstream=rdma-core</t>
  </si>
  <si>
    <t>rdma-core/libibverbs1</t>
  </si>
  <si>
    <t>pkg:deb/ubuntu/libibverbs1@56.0-1?distro=ubuntu-24.04&amp;upstream=rdma-core</t>
  </si>
  <si>
    <t>rdma-core/librdmacm-dev</t>
  </si>
  <si>
    <t>pkg:deb/ubuntu/librdmacm-dev@56.0-1?distro=ubuntu-24.04&amp;upstream=rdma-core</t>
  </si>
  <si>
    <t>rdma-core/librdmacm1</t>
  </si>
  <si>
    <t>pkg:deb/ubuntu/librdmacm1@56.0-1?distro=ubuntu-24.04&amp;upstream=rdma-core</t>
  </si>
  <si>
    <t>readline/libreadline8t64</t>
  </si>
  <si>
    <t>8.2-4build1</t>
  </si>
  <si>
    <t>pkg:deb/ubuntu/libreadline8t64@8.2-4build1?distro=ubuntu-24.04&amp;upstream=readline</t>
  </si>
  <si>
    <t>readline/readline-common</t>
  </si>
  <si>
    <t>pkg:deb/ubuntu/readline-common@8.2-4build1?distro=ubuntu-24.04&amp;upstream=readline</t>
  </si>
  <si>
    <t>rtmpdump/librtmp1</t>
  </si>
  <si>
    <t>2.4+20151223.gitfa8646d.1-2build7</t>
  </si>
  <si>
    <t>pkg:deb/ubuntu/librtmp1@2.4%2B20151223.gitfa8646d.1-2build7?distro=ubuntu-24.04&amp;upstream=rtmpdump</t>
  </si>
  <si>
    <t>sed</t>
  </si>
  <si>
    <t>4.9-2ubuntu0.24.04.1</t>
  </si>
  <si>
    <t>pkg:deb/ubuntu/sed@4.9-2ubuntu0.24.04.1?distro=ubuntu-24.04</t>
  </si>
  <si>
    <t>sensible-utils</t>
  </si>
  <si>
    <t>0.0.22</t>
  </si>
  <si>
    <t>pkg:deb/ubuntu/sensible-utils@0.0.22?distro=ubuntu-24.04</t>
  </si>
  <si>
    <t>setuptools/python3-pkg-resources</t>
  </si>
  <si>
    <t>68.1.2-2ubuntu1.2</t>
  </si>
  <si>
    <t>pkg:deb/ubuntu/python3-pkg-resources@68.1.2-2ubuntu1.2?distro=ubuntu-24.04&amp;upstream=setuptools</t>
  </si>
  <si>
    <t>setuptools/python3-setuptools</t>
  </si>
  <si>
    <t>pkg:deb/ubuntu/python3-setuptools@68.1.2-2ubuntu1.2?distro=ubuntu-24.04&amp;upstream=setuptools</t>
  </si>
  <si>
    <t>sgml-base</t>
  </si>
  <si>
    <t>1.31</t>
  </si>
  <si>
    <t>pkg:deb/ubuntu/sgml-base@1.31?distro=ubuntu-24.04</t>
  </si>
  <si>
    <t>shadow/login</t>
  </si>
  <si>
    <t>1:4.13+dfsg1-4ubuntu3.2</t>
  </si>
  <si>
    <t>pkg:deb/ubuntu/login@1:4.13%2Bdfsg1-4ubuntu3.2?distro=ubuntu-24.04&amp;upstream=shadow</t>
  </si>
  <si>
    <t>shadow/passwd</t>
  </si>
  <si>
    <t>pkg:deb/ubuntu/passwd@1:4.13%2Bdfsg1-4ubuntu3.2?distro=ubuntu-24.04&amp;upstream=shadow</t>
  </si>
  <si>
    <t>slurm-wlm/libpmi2-0-dev</t>
  </si>
  <si>
    <t>23.11.4-1.2ubuntu5</t>
  </si>
  <si>
    <t>pkg:deb/ubuntu/libpmi2-0-dev@23.11.4-1.2ubuntu5?distro=ubuntu-24.04&amp;upstream=slurm-wlm</t>
  </si>
  <si>
    <t>slurm-wlm/libpmi2-0t64</t>
  </si>
  <si>
    <t>pkg:deb/ubuntu/libpmi2-0t64@23.11.4-1.2ubuntu5?distro=ubuntu-24.04&amp;upstream=slurm-wlm</t>
  </si>
  <si>
    <t>slurm-wlm/libslurm40t64</t>
  </si>
  <si>
    <t>pkg:deb/ubuntu/libslurm40t64@23.11.4-1.2ubuntu5?distro=ubuntu-24.04&amp;upstream=slurm-wlm</t>
  </si>
  <si>
    <t>sqlite3/libsqlite3-0</t>
  </si>
  <si>
    <t>3.45.1-1ubuntu2.6</t>
  </si>
  <si>
    <t>pkg:deb/ubuntu/libsqlite3-0@3.45.1-1ubuntu2.6?distro=ubuntu-24.04&amp;upstream=sqlite3</t>
  </si>
  <si>
    <t>systemd/libsystemd0</t>
  </si>
  <si>
    <t>255.4-1ubuntu8.16</t>
  </si>
  <si>
    <t>pkg:deb/ubuntu/libsystemd0@255.4-1ubuntu8.16?distro=ubuntu-24.04&amp;upstream=systemd</t>
  </si>
  <si>
    <t>systemd/libudev1</t>
  </si>
  <si>
    <t>pkg:deb/ubuntu/libudev1@255.4-1ubuntu8.16?distro=ubuntu-24.04&amp;upstream=systemd</t>
  </si>
  <si>
    <t>sysvinit/sysvinit-utils</t>
  </si>
  <si>
    <t>3.08-6ubuntu3</t>
  </si>
  <si>
    <t>pkg:deb/ubuntu/sysvinit-utils@3.08-6ubuntu3?distro=ubuntu-24.04&amp;upstream=sysvinit</t>
  </si>
  <si>
    <t>tar</t>
  </si>
  <si>
    <t>1.35+dfsg-3ubuntu0.3</t>
  </si>
  <si>
    <t>pkg:deb/ubuntu/tar@1.35%2Bdfsg-3ubuntu0.3?distro=ubuntu-24.04</t>
  </si>
  <si>
    <t>UBUNTU-CVE-2026-18477, UBUNTU-CVE-2026-18508, UBUNTU-CVE-2026-5704, USN-8477-3</t>
  </si>
  <si>
    <t>tensorrt/libnvinfer-bin</t>
  </si>
  <si>
    <t>10.13.3.9-1+cuda13.0</t>
  </si>
  <si>
    <t>pkg:deb/ubuntu/libnvinfer-bin@10.13.3.9-1%2Bcuda13.0?distro=ubuntu-24.04&amp;upstream=tensorrt</t>
  </si>
  <si>
    <t>tensorrt/libnvinfer-dev</t>
  </si>
  <si>
    <t>pkg:deb/ubuntu/libnvinfer-dev@10.13.3.9-1%2Bcuda13.0?distro=ubuntu-24.04&amp;upstream=tensorrt</t>
  </si>
  <si>
    <t>tensorrt/libnvinfer-dispatch-dev</t>
  </si>
  <si>
    <t>pkg:deb/ubuntu/libnvinfer-dispatch-dev@10.13.3.9-1%2Bcuda13.0?distro=ubuntu-24.04&amp;upstream=tensorrt</t>
  </si>
  <si>
    <t>tensorrt/libnvinfer-dispatch10</t>
  </si>
  <si>
    <t>pkg:deb/ubuntu/libnvinfer-dispatch10@10.13.3.9-1%2Bcuda13.0?distro=ubuntu-24.04&amp;upstream=tensorrt</t>
  </si>
  <si>
    <t>tensorrt/libnvinfer-headers-dev</t>
  </si>
  <si>
    <t>pkg:deb/ubuntu/libnvinfer-headers-dev@10.13.3.9-1%2Bcuda13.0?distro=ubuntu-24.04&amp;upstream=tensorrt</t>
  </si>
  <si>
    <t>tensorrt/libnvinfer-headers-plugin-dev</t>
  </si>
  <si>
    <t>pkg:deb/ubuntu/libnvinfer-headers-plugin-dev@10.13.3.9-1%2Bcuda13.0?distro=ubuntu-24.04&amp;upstream=tensorrt</t>
  </si>
  <si>
    <t>tensorrt/libnvinfer-headers-python-plugin-dev</t>
  </si>
  <si>
    <t>pkg:deb/ubuntu/libnvinfer-headers-python-plugin-dev@10.13.3.9-1%2Bcuda13.0?distro=ubuntu-24.04&amp;upstream=tensorrt</t>
  </si>
  <si>
    <t>tensorrt/libnvinfer-lean-dev</t>
  </si>
  <si>
    <t>pkg:deb/ubuntu/libnvinfer-lean-dev@10.13.3.9-1%2Bcuda13.0?distro=ubuntu-24.04&amp;upstream=tensorrt</t>
  </si>
  <si>
    <t>tensorrt/libnvinfer-lean10</t>
  </si>
  <si>
    <t>pkg:deb/ubuntu/libnvinfer-lean10@10.13.3.9-1%2Bcuda13.0?distro=ubuntu-24.04&amp;upstream=tensorrt</t>
  </si>
  <si>
    <t>tensorrt/libnvinfer-plugin-dev</t>
  </si>
  <si>
    <t>pkg:deb/ubuntu/libnvinfer-plugin-dev@10.13.3.9-1%2Bcuda13.0?distro=ubuntu-24.04&amp;upstream=tensorrt</t>
  </si>
  <si>
    <t>tensorrt/libnvinfer-plugin10</t>
  </si>
  <si>
    <t>pkg:deb/ubuntu/libnvinfer-plugin10@10.13.3.9-1%2Bcuda13.0?distro=ubuntu-24.04&amp;upstream=tensorrt</t>
  </si>
  <si>
    <t>tensorrt/libnvinfer-vc-plugin-dev</t>
  </si>
  <si>
    <t>pkg:deb/ubuntu/libnvinfer-vc-plugin-dev@10.13.3.9-1%2Bcuda13.0?distro=ubuntu-24.04&amp;upstream=tensorrt</t>
  </si>
  <si>
    <t>tensorrt/libnvinfer-vc-plugin10</t>
  </si>
  <si>
    <t>pkg:deb/ubuntu/libnvinfer-vc-plugin10@10.13.3.9-1%2Bcuda13.0?distro=ubuntu-24.04&amp;upstream=tensorrt</t>
  </si>
  <si>
    <t>tensorrt/libnvinfer10</t>
  </si>
  <si>
    <t>pkg:deb/ubuntu/libnvinfer10@10.13.3.9-1%2Bcuda13.0?distro=ubuntu-24.04&amp;upstream=tensorrt</t>
  </si>
  <si>
    <t>tensorrt/libnvonnxparsers-dev</t>
  </si>
  <si>
    <t>pkg:deb/ubuntu/libnvonnxparsers-dev@10.13.3.9-1%2Bcuda13.0?distro=ubuntu-24.04&amp;upstream=tensorrt</t>
  </si>
  <si>
    <t>tensorrt/libnvonnxparsers10</t>
  </si>
  <si>
    <t>pkg:deb/ubuntu/libnvonnxparsers10@10.13.3.9-1%2Bcuda13.0?distro=ubuntu-24.04&amp;upstream=tensorrt</t>
  </si>
  <si>
    <t>tensorrt/tensorrt-dev</t>
  </si>
  <si>
    <t>pkg:deb/ubuntu/tensorrt-dev@10.13.3.9-1%2Bcuda13.0?distro=ubuntu-24.04&amp;upstream=tensorrt</t>
  </si>
  <si>
    <t>2026b-0ubuntu0.24.04.1</t>
  </si>
  <si>
    <t>pkg:deb/ubuntu/tzdata@2026b-0ubuntu0.24.04.1?distro=ubuntu-24.04</t>
  </si>
  <si>
    <t>ubuntu-keyring</t>
  </si>
  <si>
    <t>2023.11.28.1</t>
  </si>
  <si>
    <t>pkg:deb/ubuntu/ubuntu-keyring@2023.11.28.1?distro=ubuntu-24.04</t>
  </si>
  <si>
    <t>unzip</t>
  </si>
  <si>
    <t>6.0-28ubuntu4.1</t>
  </si>
  <si>
    <t>pkg:deb/ubuntu/unzip@6.0-28ubuntu4.1?distro=ubuntu-24.04</t>
  </si>
  <si>
    <t>usb.ids</t>
  </si>
  <si>
    <t>2024.03.18-1</t>
  </si>
  <si>
    <t>pkg:deb/ubuntu/usb.ids@2024.03.18-1?distro=ubuntu-24.04</t>
  </si>
  <si>
    <t>util-linux</t>
  </si>
  <si>
    <t>2.39.3-9ubuntu6.5</t>
  </si>
  <si>
    <t>pkg:deb/ubuntu/util-linux@2.39.3-9ubuntu6.5?distro=ubuntu-24.04</t>
  </si>
  <si>
    <t>UBUNTU-CVE-2026-13595, UBUNTU-CVE-2026-27456, UBUNTU-CVE-2026-53612, UBUNTU-CVE-2026-53613, UBUNTU-CVE-2026-53614, UBUNTU-CVE-2026-53615, UBUNTU-CVE-2026-76642, UBUNTU-CVE-2026-78408, UBUNTU-CVE-2026-78409, UBUNTU-CVE-2026-78410, USN-8702-1</t>
  </si>
  <si>
    <t>util-linux/bsdutils</t>
  </si>
  <si>
    <t>1:2.39.3-9ubuntu6.5</t>
  </si>
  <si>
    <t>pkg:deb/ubuntu/bsdutils@1:2.39.3-9ubuntu6.5?distro=ubuntu-24.04&amp;upstream=util-linux%402.39.3-9ubuntu6.5</t>
  </si>
  <si>
    <t>util-linux/libblkid1</t>
  </si>
  <si>
    <t>pkg:deb/ubuntu/libblkid1@2.39.3-9ubuntu6.5?distro=ubuntu-24.04&amp;upstream=util-linux</t>
  </si>
  <si>
    <t>util-linux/libmount1</t>
  </si>
  <si>
    <t>pkg:deb/ubuntu/libmount1@2.39.3-9ubuntu6.5?distro=ubuntu-24.04&amp;upstream=util-linux</t>
  </si>
  <si>
    <t>util-linux/libsmartcols1</t>
  </si>
  <si>
    <t>pkg:deb/ubuntu/libsmartcols1@2.39.3-9ubuntu6.5?distro=ubuntu-24.04&amp;upstream=util-linux</t>
  </si>
  <si>
    <t>util-linux/libuuid1</t>
  </si>
  <si>
    <t>pkg:deb/ubuntu/libuuid1@2.39.3-9ubuntu6.5?distro=ubuntu-24.04&amp;upstream=util-linux</t>
  </si>
  <si>
    <t>util-linux/mount</t>
  </si>
  <si>
    <t>pkg:deb/ubuntu/mount@2.39.3-9ubuntu6.5?distro=ubuntu-24.04&amp;upstream=util-linux</t>
  </si>
  <si>
    <t>vim/vim-common</t>
  </si>
  <si>
    <t>2:9.1.0016-1ubuntu7.18</t>
  </si>
  <si>
    <t>pkg:deb/ubuntu/vim-common@2:9.1.0016-1ubuntu7.18?distro=ubuntu-24.04&amp;upstream=vim</t>
  </si>
  <si>
    <t>vim/vim-runtime</t>
  </si>
  <si>
    <t>pkg:deb/ubuntu/vim-runtime@2:9.1.0016-1ubuntu7.18?distro=ubuntu-24.04&amp;upstream=vim</t>
  </si>
  <si>
    <t>wget</t>
  </si>
  <si>
    <t>1.21.4-1ubuntu4.3</t>
  </si>
  <si>
    <t>pkg:deb/ubuntu/wget@1.21.4-1ubuntu4.3?distro=ubuntu-24.04</t>
  </si>
  <si>
    <t>UBUNTU-CVE-2021-31879, UBUNTU-CVE-2024-10524, UBUNTU-CVE-2026-15146, UBUNTU-CVE-2026-16599, USN-8543-2, USN-8572-1</t>
  </si>
  <si>
    <t>wheel/python3-wheel</t>
  </si>
  <si>
    <t>0.42.0-2</t>
  </si>
  <si>
    <t>pkg:deb/ubuntu/python3-wheel@0.42.0-2?distro=ubuntu-24.04&amp;upstream=wheel</t>
  </si>
  <si>
    <t>xml-core</t>
  </si>
  <si>
    <t>0.19</t>
  </si>
  <si>
    <t>pkg:deb/ubuntu/xml-core@0.19?distro=ubuntu-24.04</t>
  </si>
  <si>
    <t>xxhash/libxxhash0</t>
  </si>
  <si>
    <t>0.8.2-2build1</t>
  </si>
  <si>
    <t>pkg:deb/ubuntu/libxxhash0@0.8.2-2build1?distro=ubuntu-24.04&amp;upstream=xxhash</t>
  </si>
  <si>
    <t>xz-utils/liblzma5</t>
  </si>
  <si>
    <t>5.6.1+really5.4.5-1ubuntu0.3</t>
  </si>
  <si>
    <t>pkg:deb/ubuntu/liblzma5@5.6.1%2Breally5.4.5-1ubuntu0.3?distro=ubuntu-24.04&amp;upstream=xz-utils</t>
  </si>
  <si>
    <t>zlib/zlib1g</t>
  </si>
  <si>
    <t>1:1.3.dfsg-3.1ubuntu2.1</t>
  </si>
  <si>
    <t>pkg:deb/ubuntu/zlib1g@1:1.3.dfsg-3.1ubuntu2.1?distro=ubuntu-24.04&amp;upstream=zlib</t>
  </si>
  <si>
    <t>Identification</t>
  </si>
  <si>
    <t>Severity Scoring</t>
  </si>
  <si>
    <t>Threat Intelligence</t>
  </si>
  <si>
    <t>VEX &amp; Safety Assessment</t>
  </si>
  <si>
    <t>Remediation Plan</t>
  </si>
  <si>
    <t>Status &amp; Notes</t>
  </si>
  <si>
    <t>Total vulns (auto)</t>
  </si>
  <si>
    <t>Component Version</t>
  </si>
  <si>
    <t>Vulnerability ID (CVE/GHSA)</t>
  </si>
  <si>
    <t>CVSS Version</t>
  </si>
  <si>
    <t>CVSS Base Score</t>
  </si>
  <si>
    <t>CVSS Vector</t>
  </si>
  <si>
    <t>Severity</t>
  </si>
  <si>
    <t>EPSS Score</t>
  </si>
  <si>
    <t>CISA KEV Status</t>
  </si>
  <si>
    <t>VEX Status</t>
  </si>
  <si>
    <t>VEX Justification</t>
  </si>
  <si>
    <t>Patient Safety / Clinical Impact</t>
  </si>
  <si>
    <t>Exploitability</t>
  </si>
  <si>
    <t>Remediation / Mitigation Plan</t>
  </si>
  <si>
    <t>Fixed / Target Version(s)</t>
  </si>
  <si>
    <t>Remediation Owner</t>
  </si>
  <si>
    <t>Target / Resolution Date</t>
  </si>
  <si>
    <t>Status</t>
  </si>
  <si>
    <t>Open Crit/High (auto)</t>
  </si>
  <si>
    <t>CVE-2025-2999</t>
  </si>
  <si>
    <t>AV:L/AC:L/PR:L/UI:N/S:U/C:L/I:L/A:L</t>
  </si>
  <si>
    <t>Medium</t>
  </si>
  <si>
    <t>No</t>
  </si>
  <si>
    <t>Under Investigation</t>
  </si>
  <si>
    <t>2.9.1</t>
  </si>
  <si>
    <t>Open</t>
  </si>
  <si>
    <t>OSV</t>
  </si>
  <si>
    <t>CVE-2025-3000</t>
  </si>
  <si>
    <t>Low</t>
  </si>
  <si>
    <t>CVE-2025-3001</t>
  </si>
  <si>
    <t>2.10.0</t>
  </si>
  <si>
    <t>CVE-2025-3730</t>
  </si>
  <si>
    <t>AV:L/AC:L/PR:L/UI:N/S:U/C:N/I:N/A:L</t>
  </si>
  <si>
    <t>2.8.0</t>
  </si>
  <si>
    <t>CVE-2025-55551</t>
  </si>
  <si>
    <t>AV:N/AC:L/PR:N/UI:N/S:U/C:N/I:N/A:H</t>
  </si>
  <si>
    <t>CVE-2025-55552</t>
  </si>
  <si>
    <t>CVE-2025-55554</t>
  </si>
  <si>
    <t>AV:N/AC:L/PR:N/UI:N/S:U/C:N/I:N/A:L</t>
  </si>
  <si>
    <t>CVE-2025-68146</t>
  </si>
  <si>
    <t>AV:L/AC:H/PR:L/UI:N/S:U/C:N/I:H/A:H</t>
  </si>
  <si>
    <t>3.20.1</t>
  </si>
  <si>
    <t>CVE-2026-22701</t>
  </si>
  <si>
    <t>AV:L/AC:H/PR:L/UI:N/S:U/C:N/I:L/A:H</t>
  </si>
  <si>
    <t>3.20.3</t>
  </si>
  <si>
    <t>CVE-2026-24747</t>
  </si>
  <si>
    <t>AV:N/AC:L/PR:N/UI:R/S:U/C:H/I:H/A:H</t>
  </si>
  <si>
    <t>CVE-2026-25990</t>
  </si>
  <si>
    <t>AV:L/AC:L/AT:N/PR:N/UI:N/VC:H/VI:H/VA:H/SC:N/SI:N/SA:N</t>
  </si>
  <si>
    <t>High</t>
  </si>
  <si>
    <t>12.1.1</t>
  </si>
  <si>
    <t>NVD,OSV</t>
  </si>
  <si>
    <t>CVE-2026-40192</t>
  </si>
  <si>
    <t>12.2.0</t>
  </si>
  <si>
    <t>CVE-2026-42308</t>
  </si>
  <si>
    <t>AV:L/AC:L/PR:L/UI:N/S:U/C:N/I:N/A:H</t>
  </si>
  <si>
    <t>CVE-2026-42309</t>
  </si>
  <si>
    <t>CVE-2026-42310</t>
  </si>
  <si>
    <t>CVE-2026-42311</t>
  </si>
  <si>
    <t>CVE-2026-4538</t>
  </si>
  <si>
    <t>AV:L/AC:L/PR:L/UI:N/S:U/C:H/I:H/A:H</t>
  </si>
  <si>
    <t>3.15</t>
  </si>
  <si>
    <t>CVE-2026-54058</t>
  </si>
  <si>
    <t>AV:N/AC:L/AT:P/PR:N/UI:N/VC:H/VI:N/VA:H/SC:N/SI:N/SA:N</t>
  </si>
  <si>
    <t>CVE-2026-54059</t>
  </si>
  <si>
    <t>CVE-2026-54060</t>
  </si>
  <si>
    <t>CVE-2026-55379</t>
  </si>
  <si>
    <t>CVE-2026-55380</t>
  </si>
  <si>
    <t>CVE-2026-55798</t>
  </si>
  <si>
    <t>AV:L/AC:H/PR:N/UI:R/S:U/C:L/I:L/A:L</t>
  </si>
  <si>
    <t>CVE-2026-59197</t>
  </si>
  <si>
    <t>AV:N/AC:L/PR:N/UI:N/S:U/C:N/I:L/A:H</t>
  </si>
  <si>
    <t>CVE-2026-59198</t>
  </si>
  <si>
    <t>AV:N/AC:H/PR:N/UI:N/S:U/C:H/I:N/A:L</t>
  </si>
  <si>
    <t>CVE-2026-59199</t>
  </si>
  <si>
    <t>CVE-2026-59200</t>
  </si>
  <si>
    <t>CVE-2026-59204</t>
  </si>
  <si>
    <t>AV:N/AC:L/AT:N/PR:N/UI:N/VC:N/VI:N/VA:H/SC:N/SI:N/SA:N</t>
  </si>
  <si>
    <t>CVE-2026-59205</t>
  </si>
  <si>
    <t>AV:L/AC:L/PR:N/UI:R/S:U/C:H/I:L/A:N</t>
  </si>
  <si>
    <t>83.0.0</t>
  </si>
  <si>
    <t>UBUNTU-CVE-2016-2781</t>
  </si>
  <si>
    <t>AV:L/AC:L/PR:L/UI:N/S:C/C:N/I:H/A:N</t>
  </si>
  <si>
    <t>UBUNTU-CVE-2018-1000021</t>
  </si>
  <si>
    <t>AV:N/AC:H/PR:N/UI:R/S:U/C:L/I:L/A:L</t>
  </si>
  <si>
    <t>UBUNTU-CVE-2021-31879</t>
  </si>
  <si>
    <t>AV:N/AC:L/PR:N/UI:R/S:C/C:L/I:L/A:N</t>
  </si>
  <si>
    <t>UBUNTU-CVE-2024-10524</t>
  </si>
  <si>
    <t>AV:N/AC:H/PR:N/UI:N/S:C/C:L/I:L/A:L</t>
  </si>
  <si>
    <t>libgcrypt11</t>
  </si>
  <si>
    <t>UBUNTU-CVE-2024-2236</t>
  </si>
  <si>
    <t>AV:N/AC:H/PR:N/UI:N/S:U/C:H/I:N/A:N</t>
  </si>
  <si>
    <t>1.10.3-2ubuntu0.2, 1.12.0-2ubuntu1.1, 1.9.4-3ubuntu3.3</t>
  </si>
  <si>
    <t>UBUNTU-CVE-2024-52005</t>
  </si>
  <si>
    <t>AV:N/AC:H/AT:N/PR:N/UI:A/VC:H/VI:H/VA:H/SC:N/SI:N/SA:N</t>
  </si>
  <si>
    <t>python2.7</t>
  </si>
  <si>
    <t>UBUNTU-CVE-2025-12781</t>
  </si>
  <si>
    <t>AV:N/AC:H/AT:P/PR:N/UI:N/VC:N/VI:L/VA:N/SC:N/SI:N/SA:N</t>
  </si>
  <si>
    <t>UBUNTU-CVE-2025-15366</t>
  </si>
  <si>
    <t>AV:N/AC:L/AT:P/PR:H/UI:N/VC:L/VI:H/VA:N/SC:N/SI:N/SA:N</t>
  </si>
  <si>
    <t>UBUNTU-CVE-2025-15367</t>
  </si>
  <si>
    <t>UBUNTU-CVE-2025-15649</t>
  </si>
  <si>
    <t>5.38.2-3.2ubuntu0.4</t>
  </si>
  <si>
    <t>UBUNTU-CVE-2025-5278</t>
  </si>
  <si>
    <t>AV:L/AC:L/PR:N/UI:R/S:U/C:L/I:N/A:L</t>
  </si>
  <si>
    <t>8.32-4.1ubuntu1.4, 9.4-3ubuntu6.3, 9.7-3ubuntu2.1</t>
  </si>
  <si>
    <t>UBUNTU-CVE-2026-0864</t>
  </si>
  <si>
    <t>AV:L/AC:L/AT:P/PR:H/UI:P/VC:N/VI:H/VA:N/SC:N/SI:N/SA:N</t>
  </si>
  <si>
    <t>UBUNTU-CVE-2026-11856</t>
  </si>
  <si>
    <t>AV:N/AC:L/PR:N/UI:N/S:U/C:H/I:H/A:H</t>
  </si>
  <si>
    <t>7.35.0-1ubuntu2.20+esm22, 7.47.0-1ubuntu2.19+esm18, 7.58.0-2ubuntu3.24+esm11, 7.68.0-1ubuntu2.25+esm6, 7.81.0-1ubuntu1.26, 8.18.0-1ubuntu2.4, 8.5.0-2ubuntu10.12</t>
  </si>
  <si>
    <t>UBUNTU-CVE-2026-11940</t>
  </si>
  <si>
    <t>AV:N/AC:L/AT:N/PR:N/UI:N/VC:N/VI:N/VA:N/SC:H/SI:H/SA:N</t>
  </si>
  <si>
    <t>UBUNTU-CVE-2026-11972</t>
  </si>
  <si>
    <t>AV:N/AC:L/AT:P/PR:N/UI:N/VC:N/VI:N/VA:H/SC:N/SI:N/SA:N</t>
  </si>
  <si>
    <t>UBUNTU-CVE-2026-11979</t>
  </si>
  <si>
    <t>AV:L/AC:L/AT:P/PR:N/UI:A/VC:N/VI:N/VA:L/SC:L/SI:L/SA:N</t>
  </si>
  <si>
    <t>UBUNTU-CVE-2026-12087</t>
  </si>
  <si>
    <t>AV:N/AC:L/PR:N/UI:N/S:U/C:H/I:N/A:H</t>
  </si>
  <si>
    <t>5.18.2-2ubuntu1.7+esm8, 5.22.1-9ubuntu0.9+esm3, 5.26.1-6ubuntu0.7+esm3, 5.30.0-9ubuntu0.5+esm3, 5.34.0-3ubuntu1.8, 5.38.2-3.2ubuntu0.4</t>
  </si>
  <si>
    <t>UBUNTU-CVE-2026-13221</t>
  </si>
  <si>
    <t>AV:N/AC:L/PR:N/UI:N/S:U/C:N/I:H/A:H</t>
  </si>
  <si>
    <t>UBUNTU-CVE-2026-13595</t>
  </si>
  <si>
    <t>AV:L/AC:L/PR:N/UI:N/S:U/C:L/I:N/A:H</t>
  </si>
  <si>
    <t>2.37.2-4ubuntu3.6, 2.39.3-9ubuntu6.6, 2.41.3-3ubuntu2.2</t>
  </si>
  <si>
    <t>UBUNTU-CVE-2026-13608</t>
  </si>
  <si>
    <t>UBUNTU-CVE-2026-15146</t>
  </si>
  <si>
    <t>AV:L/AC:L/PR:N/UI:N/S:U/C:L/I:L/A:L</t>
  </si>
  <si>
    <t>1.15-1ubuntu1.14.04.5+esm3, 1.17.1-1ubuntu1.5+esm4, 1.19.4-1ubuntu2.2+esm4, 1.20.3-1ubuntu2.1+esm3, 1.21.2-2ubuntu1.4, 1.21.4-1ubuntu4.4, 1.25.0-2ubuntu4.3</t>
  </si>
  <si>
    <t>UBUNTU-CVE-2026-15308</t>
  </si>
  <si>
    <t>UBUNTU-CVE-2026-15310</t>
  </si>
  <si>
    <t>AV:N/AC:L/AT:P/PR:N/UI:A/VC:N/VI:N/VA:L/SC:N/SI:N/SA:N</t>
  </si>
  <si>
    <t>UBUNTU-CVE-2026-15534</t>
  </si>
  <si>
    <t>AV:L/AC:H/PR:N/UI:N/S:U/C:N/I:L/A:H</t>
  </si>
  <si>
    <t>UBUNTU-CVE-2026-15806</t>
  </si>
  <si>
    <t>AV:N/AC:H/AT:P/PR:N/UI:P/VC:H/VI:N/VA:N/SC:N/SI:N/SA:N</t>
  </si>
  <si>
    <t>UBUNTU-CVE-2026-16599</t>
  </si>
  <si>
    <t>AV:N/AC:L/AT:N/PR:N/UI:A/VC:N/VI:N/VA:L/SC:N/SI:N/SA:N</t>
  </si>
  <si>
    <t>UBUNTU-CVE-2026-17084</t>
  </si>
  <si>
    <t>AV:N/AC:L/AT:P/PR:N/UI:P/VC:N/VI:H/VA:N/SC:N/SI:N/SA:N</t>
  </si>
  <si>
    <t>UBUNTU-CVE-2026-18477</t>
  </si>
  <si>
    <t>AV:L/AC:H/PR:L/UI:R/S:U/C:N/I:H/A:N</t>
  </si>
  <si>
    <t>UBUNTU-CVE-2026-18503</t>
  </si>
  <si>
    <t>AV:L/AC:L/AT:N/PR:L/UI:P/VC:N/VI:N/VA:L/SC:N/SI:N/SA:N</t>
  </si>
  <si>
    <t>UBUNTU-CVE-2026-18508</t>
  </si>
  <si>
    <t>AV:L/AC:L/PR:N/UI:R/S:U/C:L/I:L/A:N</t>
  </si>
  <si>
    <t>UBUNTU-CVE-2026-18924</t>
  </si>
  <si>
    <t>UBUNTU-CVE-2026-19487</t>
  </si>
  <si>
    <t>UBUNTU-CVE-2026-19672</t>
  </si>
  <si>
    <t>AV:N/AC:L/AT:P/PR:N/UI:N/VC:N/VI:N/VA:N/SC:N/SI:L/SA:N</t>
  </si>
  <si>
    <t>UBUNTU-CVE-2026-19931</t>
  </si>
  <si>
    <t>UBUNTU-CVE-2026-27456</t>
  </si>
  <si>
    <t>AV:L/AC:H/PR:L/UI:N/S:U/C:H/I:N/A:N</t>
  </si>
  <si>
    <t>UBUNTU-CVE-2026-3446</t>
  </si>
  <si>
    <t>AV:N/AC:H/AT:P/PR:L/UI:N/VC:N/VI:H/VA:N/SC:N/SI:N/SA:N</t>
  </si>
  <si>
    <t>UBUNTU-CVE-2026-4360</t>
  </si>
  <si>
    <t>AV:N/AC:L/AT:P/PR:H/UI:P/VC:N/VI:L/VA:N/SC:N/SI:N/SA:N</t>
  </si>
  <si>
    <t>UBUNTU-CVE-2026-48959</t>
  </si>
  <si>
    <t>UBUNTU-CVE-2026-48962</t>
  </si>
  <si>
    <t>AV:N/AC:L/PR:N/UI:N/S:U/C:L/I:L/A:L</t>
  </si>
  <si>
    <t>UBUNTU-CVE-2026-53612</t>
  </si>
  <si>
    <t>2.39.3-9ubuntu6.6, 2.41.3-3ubuntu2.2</t>
  </si>
  <si>
    <t>UBUNTU-CVE-2026-53613</t>
  </si>
  <si>
    <t>UBUNTU-CVE-2026-53614</t>
  </si>
  <si>
    <t>UBUNTU-CVE-2026-53615</t>
  </si>
  <si>
    <t>UBUNTU-CVE-2026-53910</t>
  </si>
  <si>
    <t>AV:L/AC:L/AT:P/PR:N/UI:N/VC:N/VI:L/VA:L/SC:L/SI:L/SA:L</t>
  </si>
  <si>
    <t>1:3.10-1ubuntu0.1, 1:3.12-1ubuntu0.1, 1:3.3-1ubuntu0.1~esm1, 1:3.3-3ubuntu0.1~esm1, 1:3.6-1ubuntu0.1~esm1, 1:3.7-3ubuntu0.1~esm1, 1:3.8-0ubuntu2.1</t>
  </si>
  <si>
    <t>UBUNTU-CVE-2026-54874</t>
  </si>
  <si>
    <t>1.0.1f-1ubuntu2.27+esm16, 1.0.2g-1ubuntu4.20+esm18, 1.0.2n-1ubuntu5.13+esm6, 1.1.1-1ubuntu2.1~18.04.23+esm10, 1.1.1f-1ubuntu2.24+esm5, 3.0.13-0ubuntu3.15, 3.0.13-0ubuntu3.15+Fips1, 3.0.2-0ubuntu1.29, 3.5.5-1ubuntu3.4</t>
  </si>
  <si>
    <t>UBUNTU-CVE-2026-5704</t>
  </si>
  <si>
    <t>AV:L/AC:L/PR:L/UI:R/S:U/C:N/I:H/A:N</t>
  </si>
  <si>
    <t>1.27.1-1ubuntu0.1+esm7, 1.28-2.1ubuntu0.2+esm6, 1.29b-2ubuntu0.4+esm4, 1.30+dfsg-7ubuntu0.20.04.4+esm3, 1.34+dfsg-1ubuntu0.1.22.04.6, 1.35+dfsg-3ubuntu0.4, 1.35+dfsg-4ubuntu0.4</t>
  </si>
  <si>
    <t>UBUNTU-CVE-2026-57432</t>
  </si>
  <si>
    <t>AV:L/AC:L/PR:N/UI:N/S:U/C:H/I:H/A:H</t>
  </si>
  <si>
    <t>UBUNTU-CVE-2026-57433</t>
  </si>
  <si>
    <t>UBUNTU-CVE-2026-63072</t>
  </si>
  <si>
    <t>nodejs</t>
  </si>
  <si>
    <t>UBUNTU-CVE-2026-63074</t>
  </si>
  <si>
    <t>AV:N/AC:H/PR:N/UI:N/S:U/C:N/I:N/A:H</t>
  </si>
  <si>
    <t>3.0.13-0ubuntu3.15, 3.0.13-0ubuntu3.15+Fips1, 3.0.2-0ubuntu1.29, 3.5.5-1ubuntu3.4</t>
  </si>
  <si>
    <t>UBUNTU-CVE-2026-63076</t>
  </si>
  <si>
    <t>AV:L/AC:L/PR:L/UI:R/S:U/C:L/I:H/A:H</t>
  </si>
  <si>
    <t>UBUNTU-CVE-2026-6879</t>
  </si>
  <si>
    <t>AV:N/AC:H/AT:P/PR:H/UI:P/VC:N/VI:N/VA:L/SC:N/SI:N/SA:N</t>
  </si>
  <si>
    <t>UBUNTU-CVE-2026-7017</t>
  </si>
  <si>
    <t>AV:N/AC:L/PR:N/UI:R/S:U/C:H/I:L/A:N</t>
  </si>
  <si>
    <t>UBUNTU-CVE-2026-7210</t>
  </si>
  <si>
    <t>AV:N/AC:H/AT:N/PR:N/UI:N/VC:N/VI:N/VA:L/SC:N/SI:N/SA:N</t>
  </si>
  <si>
    <t>UBUNTU-CVE-2026-75803</t>
  </si>
  <si>
    <t>AV:N/AC:L/PR:N/UI:N/S:U/C:H/I:H/A:N</t>
  </si>
  <si>
    <t>3.0.13-0ubuntu3.15, 3.0.13-0ubuntu3.15+Fips1, 3.0.2-0ubuntu1.29, 3.5.5-1ubuntu3.5</t>
  </si>
  <si>
    <t>UBUNTU-CVE-2026-76642</t>
  </si>
  <si>
    <t>UBUNTU-CVE-2026-78408</t>
  </si>
  <si>
    <t>AV:L/AC:L/PR:L/UI:R/S:C/C:N/I:H/A:H</t>
  </si>
  <si>
    <t>UBUNTU-CVE-2026-78409</t>
  </si>
  <si>
    <t>AV:L/AC:H/PR:L/UI:N/S:U/C:H/I:H/A:H</t>
  </si>
  <si>
    <t>UBUNTU-CVE-2026-78410</t>
  </si>
  <si>
    <t>UBUNTU-CVE-2026-80229</t>
  </si>
  <si>
    <t>UBUNTU-CVE-2026-80230</t>
  </si>
  <si>
    <t>UBUNTU-CVE-2026-80231</t>
  </si>
  <si>
    <t>UBUNTU-CVE-2026-80255</t>
  </si>
  <si>
    <t>UBUNTU-CVE-2026-82208</t>
  </si>
  <si>
    <t>UBUNTU-CVE-2026-82209</t>
  </si>
  <si>
    <t>UBUNTU-CVE-2026-84366</t>
  </si>
  <si>
    <t>AV:N/AC:H/PR:N/UI:N/S:U/C:H/I:H/A:N</t>
  </si>
  <si>
    <t>UBUNTU-CVE-2026-86137</t>
  </si>
  <si>
    <t>AV:L/AC:H/PR:N/UI:N/S:U/C:N/I:N/A:L</t>
  </si>
  <si>
    <t>UBUNTU-CVE-2026-86138</t>
  </si>
  <si>
    <t>AV:L/AC:H/PR:N/UI:N/S:U/C:H/I:H/A:L</t>
  </si>
  <si>
    <t>UBUNTU-CVE-2026-86139</t>
  </si>
  <si>
    <t>UBUNTU-CVE-2026-86140</t>
  </si>
  <si>
    <t>AV:L/AC:L/PR:N/UI:N/S:U/C:H/I:H/A:L</t>
  </si>
  <si>
    <t>UBUNTU-CVE-2026-86141</t>
  </si>
  <si>
    <t>UBUNTU-CVE-2026-86142</t>
  </si>
  <si>
    <t>UBUNTU-CVE-2026-86143</t>
  </si>
  <si>
    <t>UBUNTU-CVE-2026-86144</t>
  </si>
  <si>
    <t>AV:L/AC:H/PR:N/UI:N/S:C/C:L/I:L/A:L</t>
  </si>
  <si>
    <t>UBUNTU-CVE-2026-8932</t>
  </si>
  <si>
    <t>AV:N/AC:L/PR:N/UI:N/S:U/C:N/I:H/A:N</t>
  </si>
  <si>
    <t>7.58.0-2ubuntu3.24+esm12, 7.68.0-1ubuntu2.25+esm7, 7.81.0-1ubuntu1.27, 8.5.0-2ubuntu10.13</t>
  </si>
  <si>
    <t>UBUNTU-CVE-2026-9538</t>
  </si>
  <si>
    <t>USN-8477-3</t>
  </si>
  <si>
    <t>USN-8543-2</t>
  </si>
  <si>
    <t>1.15-1ubuntu1.14.04.5+esm4, 1.17.1-1ubuntu1.5+esm5, 1.19.4-1ubuntu2.2+esm5, 1.20.3-1ubuntu2.1+esm4, 1.21.2-2ubuntu1.5, 1.21.4-1ubuntu4.5, 1.25.0-2ubuntu4.4</t>
  </si>
  <si>
    <t>USN-8572-1</t>
  </si>
  <si>
    <t>USN-8625-1</t>
  </si>
  <si>
    <t>3.0.13-0ubuntu3.12, 3.0.2-0ubuntu1.26, 3.5.5-1ubuntu3.3</t>
  </si>
  <si>
    <t>USN-8651-1</t>
  </si>
  <si>
    <t>USN-8670-1</t>
  </si>
  <si>
    <t>8.5.0-2ubuntu10.13</t>
  </si>
  <si>
    <t>USN-8678-1</t>
  </si>
  <si>
    <t>3.0.13-0ubuntu3.15, 3.0.2-0ubuntu1.29, 3.5.5-1ubuntu3.4</t>
  </si>
  <si>
    <t>USN-8684-1</t>
  </si>
  <si>
    <t>USN-8692-1</t>
  </si>
  <si>
    <t>USN-8697-1</t>
  </si>
  <si>
    <t>USN-8702-1</t>
  </si>
  <si>
    <t>End-of-Support / End-of-Life Planning — for every component near/past EOS or whose support status is unverified</t>
  </si>
  <si>
    <t>Supplier</t>
  </si>
  <si>
    <t>Support Level</t>
  </si>
  <si>
    <t>Risk if Unsupported</t>
  </si>
  <si>
    <t>Mitigation / Replacement Plan</t>
  </si>
  <si>
    <t>Compensating Controls</t>
  </si>
  <si>
    <t>Verification Method</t>
  </si>
  <si>
    <t>Owner / Responsible</t>
  </si>
  <si>
    <t>Target Action Date</t>
  </si>
  <si>
    <t>Planned</t>
  </si>
  <si>
    <t>Supplier &amp; Security Contact Registry — supports Sec. 524B coordinated vulnerability disclosure (CVD) and supply-chain transparency expectations</t>
  </si>
  <si>
    <t>Supplier / Manufacturer Legal Name</t>
  </si>
  <si>
    <t>Component(s) Supplied</t>
  </si>
  <si>
    <t>Security / PSIRT Contact Email</t>
  </si>
  <si>
    <t>Vulnerability Feed Subscribed</t>
  </si>
  <si>
    <t>FDA Compliance Dashboard — live, self-checking, computed from your data</t>
  </si>
  <si>
    <t>Composite FDA Readiness Score  (average of every completeness row below)</t>
  </si>
  <si>
    <t>This is a completeness score for this template's data, not an FDA-issued figure — it flags gaps, it does not grant clearance.</t>
  </si>
  <si>
    <t xml:space="preserve">  NTIA Minimum Elements</t>
  </si>
  <si>
    <t>Element</t>
  </si>
  <si>
    <t>Category</t>
  </si>
  <si>
    <t>Completion</t>
  </si>
  <si>
    <t>How It's Calculated</t>
  </si>
  <si>
    <t>NTIA min.</t>
  </si>
  <si>
    <t>Non-blank ‘Supplier / Legal Entity Name’ cells ÷ components entered.</t>
  </si>
  <si>
    <t>Non-blank ‘Version’ cells ÷ components entered.</t>
  </si>
  <si>
    <t>Unique Identifier (PURL/CPE/SWID)</t>
  </si>
  <si>
    <t>Non-blank ‘Unique ID Value’ cells ÷ components entered.</t>
  </si>
  <si>
    <t>Dependency Relationship (structured)</t>
  </si>
  <si>
    <t>Non-blank ‘Dependency Type’ cells ÷ components entered.</t>
  </si>
  <si>
    <t>SBOM Author (document-level)</t>
  </si>
  <si>
    <t>1 if ‘Author Email’ is completed on SBOM Metadata, else 0.</t>
  </si>
  <si>
    <t>Timestamp (document-level)</t>
  </si>
  <si>
    <t>1 if ‘SBOM Timestamp’ is completed on SBOM Metadata, else 0.</t>
  </si>
  <si>
    <t xml:space="preserve">  FDA Additional Elements (Sec. VII.C.3 / Premarket Expectations)</t>
  </si>
  <si>
    <t>FDA Sec. VII.C.3</t>
  </si>
  <si>
    <t>Non-blank EOS Date cells ÷ components entered.</t>
  </si>
  <si>
    <t>FDA expectation</t>
  </si>
  <si>
    <t>Non-blank EOL Date cells ÷ components entered.</t>
  </si>
  <si>
    <t>Level of Support Known (not Unknown/blank)</t>
  </si>
  <si>
    <t>Components with a Level of Support other than ‘Unknown’ ÷ components entered.</t>
  </si>
  <si>
    <t>Known Vulnerabilities Recorded</t>
  </si>
  <si>
    <t>FDA premarket expectation</t>
  </si>
  <si>
    <t>Non-blank ‘Known Vulnerabilities’ cells ÷ components entered (0 CVEs found should still be marked ‘None known’).</t>
  </si>
  <si>
    <t>Vulnerability Remediation Status / VEX Resolved</t>
  </si>
  <si>
    <t>Vulnerabilities whose VEX Status has moved past ‘Under Investigation’ ÷ vulnerabilities logged.</t>
  </si>
  <si>
    <t>Component Hash / Checksum Present</t>
  </si>
  <si>
    <t>Supply-chain integrity</t>
  </si>
  <si>
    <t>Non-blank ‘Component Hash / Checksum’ cells ÷ components entered.</t>
  </si>
  <si>
    <t>Cryptographic Signature Status Recorded</t>
  </si>
  <si>
    <t>Non-blank ‘Cryptographic Signature Status’ cells ÷ components entered.</t>
  </si>
  <si>
    <t xml:space="preserve">  Supply-Chain Breadth</t>
  </si>
  <si>
    <t>OS / Container / Firmware / 3rd-Party Dependencies Logged</t>
  </si>
  <si>
    <t>Supply-chain transparency</t>
  </si>
  <si>
    <t>1 if at least one row is entered on the Environment &amp; 3rd-Party Deps tab.</t>
  </si>
  <si>
    <t>Supplier Security Contacts / CVD Registered</t>
  </si>
  <si>
    <t>Sec. 524B — CVD</t>
  </si>
  <si>
    <t>1 if at least one row is entered on the Supplier &amp; Security Contacts tab.</t>
  </si>
  <si>
    <t xml:space="preserve">  Quick Stats (live counts)</t>
  </si>
  <si>
    <t>Metric</t>
  </si>
  <si>
    <t>Count</t>
  </si>
  <si>
    <t>Components unsupported / unknown support status</t>
  </si>
  <si>
    <t>Vulnerabilities missing a VEX justification</t>
  </si>
  <si>
    <t>Vulnerabilities still 'Under Investigation'</t>
  </si>
  <si>
    <t>Vulnerabilities missing a numeric CVSS score</t>
  </si>
  <si>
    <t>Vulnerabilities missing a target resolution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</si>
</sst>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yyyy\-mm\-dd"/>
    <numFmt numFmtId="167" formatCode="yyyy\-mm\-dd\ hh:mm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5"/>
      <color rgb="FF1F3864"/>
      <name val="Arial"/>
      <charset val="1"/>
    </font>
    <font>
      <i/>
      <sz val="8"/>
      <color rgb="FF999999"/>
      <name val="Arial"/>
      <charset val="1"/>
    </font>
    <font>
      <sz val="10"/>
      <color rgb="FF000000"/>
      <name val="Arial"/>
      <charset val="1"/>
    </font>
    <font>
      <i/>
      <sz val="9"/>
      <color rgb="FF66666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7" fillId="6" borderId="0" xfId="0" applyFont="1" applyFill="1"/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0" xfId="0" applyFont="1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 vertical="center"/>
    </xf>
    <xf numFmtId="0" fontId="6" fillId="0" borderId="0" xfId="0" applyFont="1"/>
    <xf numFmtId="0" fontId="2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9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8"/>
  <sheetViews>
    <sheetView showGridLines="0" zoomScaleNormal="100" workbookViewId="0">
      <selection activeCell="B23" sqref="B23"/>
    </sheetView>
  </sheetViews>
  <sheetFormatPr defaultColWidth="8.5703125" defaultRowHeight="15" x14ac:dyDescent="0.25"/>
  <cols>
    <col min="1" max="1" width="3" customWidth="1"/>
    <col min="2" max="2" width="30" customWidth="1"/>
    <col min="3" max="3" width="100" customWidth="1"/>
  </cols>
  <sheetData>
    <row r="2" spans="2:3" ht="20.100000000000001" customHeight="1" x14ac:dyDescent="0.3">
      <c r="B2" s="25" t="s">
        <v>159</v>
      </c>
      <c r="C2" s="23"/>
    </row>
    <row r="3" spans="2:3" ht="48" customHeight="1" x14ac:dyDescent="0.25">
      <c r="B3" s="26" t="s">
        <v>160</v>
      </c>
      <c r="C3" s="23"/>
    </row>
    <row r="5" spans="2:3" x14ac:dyDescent="0.25">
      <c r="B5" s="27" t="s">
        <v>161</v>
      </c>
      <c r="C5" s="23"/>
    </row>
    <row r="6" spans="2:3" ht="55.5" customHeight="1" x14ac:dyDescent="0.25">
      <c r="B6" s="24" t="s">
        <v>162</v>
      </c>
      <c r="C6" s="23"/>
    </row>
    <row r="8" spans="2:3" x14ac:dyDescent="0.25">
      <c r="B8" s="27" t="s">
        <v>163</v>
      </c>
      <c r="C8" s="23"/>
    </row>
    <row r="9" spans="2:3" ht="43.5" customHeight="1" x14ac:dyDescent="0.25">
      <c r="B9" s="3" t="s">
        <v>164</v>
      </c>
      <c r="C9" s="2" t="s">
        <v>165</v>
      </c>
    </row>
    <row r="10" spans="2:3" ht="43.5" customHeight="1" x14ac:dyDescent="0.25">
      <c r="B10" s="3" t="s">
        <v>166</v>
      </c>
      <c r="C10" s="2" t="s">
        <v>167</v>
      </c>
    </row>
    <row r="11" spans="2:3" ht="43.5" customHeight="1" x14ac:dyDescent="0.25">
      <c r="B11" s="3" t="s">
        <v>168</v>
      </c>
      <c r="C11" s="2" t="s">
        <v>169</v>
      </c>
    </row>
    <row r="12" spans="2:3" ht="43.5" customHeight="1" x14ac:dyDescent="0.25">
      <c r="B12" s="3" t="s">
        <v>170</v>
      </c>
      <c r="C12" s="2" t="s">
        <v>171</v>
      </c>
    </row>
    <row r="13" spans="2:3" ht="43.5" customHeight="1" x14ac:dyDescent="0.25">
      <c r="B13" s="3" t="s">
        <v>172</v>
      </c>
      <c r="C13" s="2" t="s">
        <v>173</v>
      </c>
    </row>
    <row r="14" spans="2:3" ht="43.5" customHeight="1" x14ac:dyDescent="0.25">
      <c r="B14" s="3" t="s">
        <v>174</v>
      </c>
      <c r="C14" s="2" t="s">
        <v>175</v>
      </c>
    </row>
    <row r="15" spans="2:3" ht="43.5" customHeight="1" x14ac:dyDescent="0.25">
      <c r="B15" s="3" t="s">
        <v>176</v>
      </c>
      <c r="C15" s="2" t="s">
        <v>177</v>
      </c>
    </row>
    <row r="17" spans="2:3" x14ac:dyDescent="0.25">
      <c r="B17" s="27" t="s">
        <v>178</v>
      </c>
      <c r="C17" s="23"/>
    </row>
    <row r="18" spans="2:3" x14ac:dyDescent="0.25">
      <c r="B18" s="4" t="s">
        <v>179</v>
      </c>
      <c r="C18" s="4" t="s">
        <v>180</v>
      </c>
    </row>
    <row r="19" spans="2:3" ht="30" customHeight="1" x14ac:dyDescent="0.25">
      <c r="B19" s="2" t="s">
        <v>181</v>
      </c>
      <c r="C19" s="2" t="s">
        <v>182</v>
      </c>
    </row>
    <row r="20" spans="2:3" ht="30" customHeight="1" x14ac:dyDescent="0.25">
      <c r="B20" s="2" t="s">
        <v>9</v>
      </c>
      <c r="C20" s="2" t="s">
        <v>183</v>
      </c>
    </row>
    <row r="21" spans="2:3" ht="30" customHeight="1" x14ac:dyDescent="0.25">
      <c r="B21" s="2" t="s">
        <v>184</v>
      </c>
      <c r="C21" s="2" t="s">
        <v>185</v>
      </c>
    </row>
    <row r="22" spans="2:3" ht="30" customHeight="1" x14ac:dyDescent="0.25">
      <c r="B22" s="2" t="s">
        <v>186</v>
      </c>
      <c r="C22" s="2" t="s">
        <v>187</v>
      </c>
    </row>
    <row r="23" spans="2:3" ht="30" customHeight="1" x14ac:dyDescent="0.25">
      <c r="B23" s="2" t="s">
        <v>188</v>
      </c>
      <c r="C23" s="2" t="s">
        <v>189</v>
      </c>
    </row>
    <row r="24" spans="2:3" ht="30" customHeight="1" x14ac:dyDescent="0.25">
      <c r="B24" s="2" t="s">
        <v>190</v>
      </c>
      <c r="C24" s="2" t="s">
        <v>191</v>
      </c>
    </row>
    <row r="25" spans="2:3" ht="30" customHeight="1" x14ac:dyDescent="0.25">
      <c r="B25" s="2" t="s">
        <v>192</v>
      </c>
      <c r="C25" s="2" t="s">
        <v>193</v>
      </c>
    </row>
    <row r="26" spans="2:3" ht="30" customHeight="1" x14ac:dyDescent="0.25">
      <c r="B26" s="2" t="s">
        <v>194</v>
      </c>
      <c r="C26" s="2" t="s">
        <v>195</v>
      </c>
    </row>
    <row r="27" spans="2:3" ht="30" customHeight="1" x14ac:dyDescent="0.25">
      <c r="B27" s="2" t="s">
        <v>196</v>
      </c>
      <c r="C27" s="2" t="s">
        <v>197</v>
      </c>
    </row>
    <row r="28" spans="2:3" ht="30" customHeight="1" x14ac:dyDescent="0.25">
      <c r="B28" s="2" t="s">
        <v>198</v>
      </c>
      <c r="C28" s="2" t="s">
        <v>199</v>
      </c>
    </row>
    <row r="29" spans="2:3" ht="30" customHeight="1" x14ac:dyDescent="0.25">
      <c r="B29" s="2" t="s">
        <v>200</v>
      </c>
      <c r="C29" s="2" t="s">
        <v>201</v>
      </c>
    </row>
    <row r="30" spans="2:3" ht="30" customHeight="1" x14ac:dyDescent="0.25">
      <c r="B30" s="2" t="s">
        <v>202</v>
      </c>
      <c r="C30" s="2" t="s">
        <v>203</v>
      </c>
    </row>
    <row r="31" spans="2:3" ht="30" customHeight="1" x14ac:dyDescent="0.25">
      <c r="B31" s="2" t="s">
        <v>204</v>
      </c>
      <c r="C31" s="2" t="s">
        <v>205</v>
      </c>
    </row>
    <row r="32" spans="2:3" ht="30" customHeight="1" x14ac:dyDescent="0.25">
      <c r="B32" s="2" t="s">
        <v>206</v>
      </c>
      <c r="C32" s="2" t="s">
        <v>207</v>
      </c>
    </row>
    <row r="33" spans="2:3" ht="30" customHeight="1" x14ac:dyDescent="0.25">
      <c r="B33" s="2" t="s">
        <v>208</v>
      </c>
      <c r="C33" s="2" t="s">
        <v>209</v>
      </c>
    </row>
    <row r="34" spans="2:3" ht="30" customHeight="1" x14ac:dyDescent="0.25">
      <c r="B34" s="2" t="s">
        <v>210</v>
      </c>
      <c r="C34" s="2" t="s">
        <v>211</v>
      </c>
    </row>
    <row r="36" spans="2:3" x14ac:dyDescent="0.25">
      <c r="B36" s="27" t="s">
        <v>212</v>
      </c>
      <c r="C36" s="23"/>
    </row>
    <row r="37" spans="2:3" ht="27.75" customHeight="1" x14ac:dyDescent="0.25">
      <c r="B37" s="22" t="s">
        <v>213</v>
      </c>
      <c r="C37" s="23"/>
    </row>
    <row r="38" spans="2:3" ht="27.75" customHeight="1" x14ac:dyDescent="0.25">
      <c r="B38" s="22" t="s">
        <v>214</v>
      </c>
      <c r="C38" s="23"/>
    </row>
    <row r="39" spans="2:3" ht="27.75" customHeight="1" x14ac:dyDescent="0.25">
      <c r="B39" s="22" t="s">
        <v>215</v>
      </c>
      <c r="C39" s="23"/>
    </row>
    <row r="40" spans="2:3" ht="27.75" customHeight="1" x14ac:dyDescent="0.25">
      <c r="B40" s="22" t="s">
        <v>216</v>
      </c>
      <c r="C40" s="23"/>
    </row>
    <row r="41" spans="2:3" ht="27.75" customHeight="1" x14ac:dyDescent="0.25">
      <c r="B41" s="22" t="s">
        <v>217</v>
      </c>
      <c r="C41" s="23"/>
    </row>
    <row r="42" spans="2:3" ht="27.75" customHeight="1" x14ac:dyDescent="0.25">
      <c r="B42" s="22" t="s">
        <v>218</v>
      </c>
      <c r="C42" s="23"/>
    </row>
    <row r="43" spans="2:3" ht="27.75" customHeight="1" x14ac:dyDescent="0.25">
      <c r="B43" s="22" t="s">
        <v>219</v>
      </c>
      <c r="C43" s="23"/>
    </row>
    <row r="44" spans="2:3" ht="27.75" customHeight="1" x14ac:dyDescent="0.25">
      <c r="B44" s="22" t="s">
        <v>220</v>
      </c>
      <c r="C44" s="23"/>
    </row>
    <row r="45" spans="2:3" ht="27.75" customHeight="1" x14ac:dyDescent="0.25">
      <c r="B45" s="22" t="s">
        <v>221</v>
      </c>
      <c r="C45" s="23"/>
    </row>
    <row r="46" spans="2:3" ht="27.75" customHeight="1" x14ac:dyDescent="0.25">
      <c r="B46" s="22" t="s">
        <v>222</v>
      </c>
      <c r="C46" s="23"/>
    </row>
    <row r="48" spans="2:3" ht="39.75" customHeight="1" x14ac:dyDescent="0.25">
      <c r="B48" s="24" t="s">
        <v>223</v>
      </c>
      <c r="C48" s="23"/>
    </row>
  </sheetData>
  <mergeCells count="18">
    <mergeCell ref="B17:C17"/>
    <mergeCell ref="B43:C43"/>
    <mergeCell ref="B39:C39"/>
    <mergeCell ref="B6:C6"/>
    <mergeCell ref="B38:C38"/>
    <mergeCell ref="B48:C48"/>
    <mergeCell ref="B2:C2"/>
    <mergeCell ref="B44:C44"/>
    <mergeCell ref="B3:C3"/>
    <mergeCell ref="B5:C5"/>
    <mergeCell ref="B37:C37"/>
    <mergeCell ref="B45:C45"/>
    <mergeCell ref="B46:C46"/>
    <mergeCell ref="B42:C42"/>
    <mergeCell ref="B36:C36"/>
    <mergeCell ref="B40:C40"/>
    <mergeCell ref="B41:C41"/>
    <mergeCell ref="B8:C8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 &amp;K008000 Classification: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47"/>
  <sheetViews>
    <sheetView showGridLines="0" zoomScaleNormal="100" workbookViewId="0">
      <selection activeCell="C37" sqref="C37"/>
    </sheetView>
  </sheetViews>
  <sheetFormatPr defaultColWidth="8.5703125" defaultRowHeight="15" x14ac:dyDescent="0.25"/>
  <cols>
    <col min="1" max="1" width="3" customWidth="1"/>
    <col min="2" max="2" width="42" customWidth="1"/>
    <col min="3" max="3" width="62" customWidth="1"/>
  </cols>
  <sheetData>
    <row r="2" spans="2:3" ht="18.95" customHeight="1" x14ac:dyDescent="0.3">
      <c r="B2" s="28" t="s">
        <v>164</v>
      </c>
      <c r="C2" s="23"/>
    </row>
    <row r="4" spans="2:3" x14ac:dyDescent="0.25">
      <c r="B4" s="27" t="s">
        <v>224</v>
      </c>
      <c r="C4" s="23"/>
    </row>
    <row r="5" spans="2:3" x14ac:dyDescent="0.25">
      <c r="B5" s="5" t="s">
        <v>225</v>
      </c>
      <c r="C5" s="6" t="s">
        <v>226</v>
      </c>
    </row>
    <row r="6" spans="2:3" x14ac:dyDescent="0.25">
      <c r="B6" s="5" t="s">
        <v>227</v>
      </c>
      <c r="C6" s="6" t="s">
        <v>228</v>
      </c>
    </row>
    <row r="7" spans="2:3" x14ac:dyDescent="0.25">
      <c r="B7" s="5" t="s">
        <v>229</v>
      </c>
      <c r="C7" s="6" t="s">
        <v>230</v>
      </c>
    </row>
    <row r="8" spans="2:3" x14ac:dyDescent="0.25">
      <c r="B8" s="5" t="s">
        <v>231</v>
      </c>
      <c r="C8" s="6" t="s">
        <v>232</v>
      </c>
    </row>
    <row r="9" spans="2:3" x14ac:dyDescent="0.25">
      <c r="B9" s="5" t="s">
        <v>233</v>
      </c>
      <c r="C9" s="6" t="s">
        <v>234</v>
      </c>
    </row>
    <row r="10" spans="2:3" x14ac:dyDescent="0.25">
      <c r="B10" s="5" t="s">
        <v>235</v>
      </c>
      <c r="C10" s="6" t="s">
        <v>236</v>
      </c>
    </row>
    <row r="11" spans="2:3" x14ac:dyDescent="0.25">
      <c r="B11" s="5" t="s">
        <v>237</v>
      </c>
      <c r="C11" s="6" t="s">
        <v>238</v>
      </c>
    </row>
    <row r="12" spans="2:3" x14ac:dyDescent="0.25">
      <c r="B12" s="5" t="s">
        <v>239</v>
      </c>
      <c r="C12" s="6" t="s">
        <v>226</v>
      </c>
    </row>
    <row r="14" spans="2:3" x14ac:dyDescent="0.25">
      <c r="B14" s="27" t="s">
        <v>240</v>
      </c>
      <c r="C14" s="23"/>
    </row>
    <row r="15" spans="2:3" x14ac:dyDescent="0.25">
      <c r="B15" s="5" t="s">
        <v>241</v>
      </c>
      <c r="C15" s="6" t="s">
        <v>242</v>
      </c>
    </row>
    <row r="16" spans="2:3" x14ac:dyDescent="0.25">
      <c r="B16" s="5" t="s">
        <v>243</v>
      </c>
      <c r="C16" s="6"/>
    </row>
    <row r="17" spans="2:3" x14ac:dyDescent="0.25">
      <c r="B17" s="5" t="s">
        <v>244</v>
      </c>
      <c r="C17" s="6"/>
    </row>
    <row r="18" spans="2:3" x14ac:dyDescent="0.25">
      <c r="B18" s="5" t="s">
        <v>245</v>
      </c>
      <c r="C18" s="6"/>
    </row>
    <row r="19" spans="2:3" x14ac:dyDescent="0.25">
      <c r="B19" s="5" t="s">
        <v>246</v>
      </c>
      <c r="C19" s="16">
        <v>46273.320729166669</v>
      </c>
    </row>
    <row r="20" spans="2:3" x14ac:dyDescent="0.25">
      <c r="B20" s="5" t="s">
        <v>247</v>
      </c>
      <c r="C20" s="6" t="s">
        <v>238</v>
      </c>
    </row>
    <row r="21" spans="2:3" ht="26.1" customHeight="1" x14ac:dyDescent="0.25">
      <c r="B21" s="5" t="s">
        <v>248</v>
      </c>
      <c r="C21" s="6" t="s">
        <v>249</v>
      </c>
    </row>
    <row r="22" spans="2:3" x14ac:dyDescent="0.25">
      <c r="B22" s="5" t="s">
        <v>250</v>
      </c>
      <c r="C22" s="6" t="s">
        <v>251</v>
      </c>
    </row>
    <row r="23" spans="2:3" x14ac:dyDescent="0.25">
      <c r="B23" s="5" t="s">
        <v>252</v>
      </c>
      <c r="C23" s="6" t="s">
        <v>253</v>
      </c>
    </row>
    <row r="25" spans="2:3" x14ac:dyDescent="0.25">
      <c r="B25" s="27" t="s">
        <v>254</v>
      </c>
      <c r="C25" s="23"/>
    </row>
    <row r="26" spans="2:3" ht="25.5" x14ac:dyDescent="0.25">
      <c r="B26" s="5" t="s">
        <v>255</v>
      </c>
      <c r="C26" s="6"/>
    </row>
    <row r="27" spans="2:3" ht="26.1" customHeight="1" x14ac:dyDescent="0.25">
      <c r="B27" s="5" t="s">
        <v>256</v>
      </c>
      <c r="C27" s="6"/>
    </row>
    <row r="28" spans="2:3" ht="26.1" customHeight="1" x14ac:dyDescent="0.25">
      <c r="B28" s="5" t="s">
        <v>257</v>
      </c>
      <c r="C28" s="6"/>
    </row>
    <row r="30" spans="2:3" x14ac:dyDescent="0.25">
      <c r="B30" s="27" t="s">
        <v>258</v>
      </c>
      <c r="C30" s="23"/>
    </row>
    <row r="31" spans="2:3" x14ac:dyDescent="0.25">
      <c r="B31" s="5" t="s">
        <v>259</v>
      </c>
      <c r="C31" s="6" t="s">
        <v>242</v>
      </c>
    </row>
    <row r="32" spans="2:3" x14ac:dyDescent="0.25">
      <c r="B32" s="5" t="s">
        <v>260</v>
      </c>
      <c r="C32" s="17">
        <v>46273</v>
      </c>
    </row>
    <row r="33" spans="2:3" x14ac:dyDescent="0.25">
      <c r="B33" s="5" t="s">
        <v>261</v>
      </c>
      <c r="C33" s="6"/>
    </row>
    <row r="34" spans="2:3" x14ac:dyDescent="0.25">
      <c r="B34" s="5" t="s">
        <v>262</v>
      </c>
      <c r="C34" s="17">
        <v>46273</v>
      </c>
    </row>
    <row r="36" spans="2:3" x14ac:dyDescent="0.25">
      <c r="B36" s="27" t="s">
        <v>263</v>
      </c>
      <c r="C36" s="23"/>
    </row>
    <row r="37" spans="2:3" x14ac:dyDescent="0.25">
      <c r="B37" s="5" t="s">
        <v>264</v>
      </c>
      <c r="C37" s="6">
        <f>'SBOM Components'!$AF$1</f>
        <v>28</v>
      </c>
    </row>
    <row r="38" spans="2:3" x14ac:dyDescent="0.25">
      <c r="B38" s="5" t="s">
        <v>265</v>
      </c>
      <c r="C38" s="6">
        <f ca="1">'SBOM Components'!$AF$2</f>
        <v>0</v>
      </c>
    </row>
    <row r="39" spans="2:3" x14ac:dyDescent="0.25">
      <c r="B39" s="5" t="s">
        <v>266</v>
      </c>
      <c r="C39" s="6">
        <f ca="1">'SBOM Components'!$AF$3</f>
        <v>0</v>
      </c>
    </row>
    <row r="40" spans="2:3" ht="26.1" customHeight="1" x14ac:dyDescent="0.25">
      <c r="B40" s="5" t="s">
        <v>267</v>
      </c>
      <c r="C40" s="6">
        <f>'SBOM Components'!$AF$4</f>
        <v>28</v>
      </c>
    </row>
    <row r="41" spans="2:3" x14ac:dyDescent="0.25">
      <c r="B41" s="5" t="s">
        <v>268</v>
      </c>
      <c r="C41" s="6">
        <f>'Vulnerabilities &amp; VEX'!$V$1</f>
        <v>120</v>
      </c>
    </row>
    <row r="42" spans="2:3" x14ac:dyDescent="0.25">
      <c r="B42" s="5" t="s">
        <v>269</v>
      </c>
      <c r="C42" s="6">
        <f>'Vulnerabilities &amp; VEX'!$V$2</f>
        <v>14</v>
      </c>
    </row>
    <row r="43" spans="2:3" x14ac:dyDescent="0.25">
      <c r="B43" s="5" t="s">
        <v>270</v>
      </c>
      <c r="C43" s="6">
        <f>'Vulnerabilities &amp; VEX'!$V$3</f>
        <v>120</v>
      </c>
    </row>
    <row r="45" spans="2:3" x14ac:dyDescent="0.25">
      <c r="B45" s="27" t="s">
        <v>271</v>
      </c>
      <c r="C45" s="23"/>
    </row>
    <row r="46" spans="2:3" x14ac:dyDescent="0.25">
      <c r="B46" s="5" t="s">
        <v>272</v>
      </c>
      <c r="C46" s="7">
        <f>'FDA Compliance Dashboard'!$C$4</f>
        <v>0.34047619047619049</v>
      </c>
    </row>
    <row r="47" spans="2:3" x14ac:dyDescent="0.25">
      <c r="B47" s="5" t="s">
        <v>273</v>
      </c>
      <c r="C47" s="6" t="str">
        <f>'FDA Compliance Dashboard'!$D$4</f>
        <v>Not Ready</v>
      </c>
    </row>
  </sheetData>
  <mergeCells count="7">
    <mergeCell ref="B30:C30"/>
    <mergeCell ref="B2:C2"/>
    <mergeCell ref="B25:C25"/>
    <mergeCell ref="B45:C45"/>
    <mergeCell ref="B36:C36"/>
    <mergeCell ref="B14:C14"/>
    <mergeCell ref="B4:C4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 &amp;K008000 Classification: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00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XFD3"/>
    </sheetView>
  </sheetViews>
  <sheetFormatPr defaultColWidth="8.5703125" defaultRowHeight="15" x14ac:dyDescent="0.25"/>
  <cols>
    <col min="1" max="1" width="6" customWidth="1"/>
    <col min="2" max="2" width="22" customWidth="1"/>
    <col min="3" max="3" width="12" customWidth="1"/>
    <col min="4" max="4" width="24" customWidth="1"/>
    <col min="5" max="5" width="12" customWidth="1"/>
    <col min="6" max="6" width="30" customWidth="1"/>
    <col min="7" max="7" width="13" customWidth="1"/>
    <col min="8" max="8" width="26" customWidth="1"/>
    <col min="9" max="9" width="12" customWidth="1"/>
    <col min="10" max="10" width="16" customWidth="1"/>
    <col min="11" max="11" width="20" customWidth="1"/>
    <col min="12" max="12" width="16" customWidth="1"/>
    <col min="13" max="14" width="15" customWidth="1"/>
    <col min="15" max="16" width="14" customWidth="1"/>
    <col min="17" max="18" width="15" customWidth="1"/>
    <col min="19" max="19" width="18" customWidth="1"/>
    <col min="20" max="21" width="16" customWidth="1"/>
    <col min="22" max="22" width="11" customWidth="1"/>
    <col min="23" max="23" width="22" customWidth="1"/>
    <col min="24" max="24" width="30" customWidth="1"/>
    <col min="25" max="25" width="20" customWidth="1"/>
    <col min="26" max="26" width="24" customWidth="1"/>
    <col min="27" max="27" width="18" customWidth="1"/>
    <col min="28" max="28" width="20" customWidth="1"/>
    <col min="29" max="29" width="22" customWidth="1"/>
    <col min="30" max="30" width="30" customWidth="1"/>
  </cols>
  <sheetData>
    <row r="1" spans="1:32" ht="30" customHeight="1" x14ac:dyDescent="0.25">
      <c r="A1" s="19" t="s">
        <v>0</v>
      </c>
      <c r="B1" s="20"/>
      <c r="C1" s="20"/>
      <c r="D1" s="20"/>
      <c r="E1" s="20"/>
      <c r="F1" s="21"/>
      <c r="G1" s="19" t="s">
        <v>1</v>
      </c>
      <c r="H1" s="20"/>
      <c r="I1" s="20"/>
      <c r="J1" s="20"/>
      <c r="K1" s="20"/>
      <c r="L1" s="21"/>
      <c r="M1" s="19" t="s">
        <v>2</v>
      </c>
      <c r="N1" s="20"/>
      <c r="O1" s="20"/>
      <c r="P1" s="20"/>
      <c r="Q1" s="20"/>
      <c r="R1" s="21"/>
      <c r="S1" s="19" t="s">
        <v>3</v>
      </c>
      <c r="T1" s="20"/>
      <c r="U1" s="20"/>
      <c r="V1" s="20"/>
      <c r="W1" s="21"/>
      <c r="X1" s="19" t="s">
        <v>4</v>
      </c>
      <c r="Y1" s="21"/>
      <c r="Z1" s="19" t="s">
        <v>5</v>
      </c>
      <c r="AA1" s="20"/>
      <c r="AB1" s="20"/>
      <c r="AC1" s="21"/>
      <c r="AD1" s="1" t="s">
        <v>6</v>
      </c>
      <c r="AE1" s="8" t="s">
        <v>7</v>
      </c>
      <c r="AF1" s="8">
        <f>COUNTA(B3:B500)</f>
        <v>28</v>
      </c>
    </row>
    <row r="2" spans="1:32" ht="45.75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8" t="s">
        <v>38</v>
      </c>
      <c r="AF2" s="8">
        <f ca="1">COUNTIF(W3:W500,"*PAST EOS*")</f>
        <v>0</v>
      </c>
    </row>
    <row r="3" spans="1:32" ht="38.25" x14ac:dyDescent="0.25">
      <c r="A3" s="9">
        <v>1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/>
      <c r="H3" s="9"/>
      <c r="I3" s="9"/>
      <c r="J3" s="9" t="s">
        <v>44</v>
      </c>
      <c r="K3" s="9" t="s">
        <v>45</v>
      </c>
      <c r="L3" s="9" t="s">
        <v>41</v>
      </c>
      <c r="M3" s="9"/>
      <c r="N3" s="9"/>
      <c r="O3" s="9"/>
      <c r="P3" s="9"/>
      <c r="Q3" s="9"/>
      <c r="R3" s="9"/>
      <c r="S3" s="9" t="s">
        <v>46</v>
      </c>
      <c r="T3" s="9"/>
      <c r="U3" s="9"/>
      <c r="V3" s="9" t="str">
        <f t="shared" ref="V3:V66" ca="1" si="0">IF(T3="","",T3-TODAY())</f>
        <v/>
      </c>
      <c r="W3" s="9" t="str">
        <f t="shared" ref="W3:W66" ca="1" si="1">IF(T3="","",IF(T3&lt;TODAY(),"PAST EOS — UNSUPPORTED",IF(T3-TODAY()&lt;=365,"EOS within 12 months","Supported")))</f>
        <v/>
      </c>
      <c r="X3" s="9"/>
      <c r="Y3" s="9" t="s">
        <v>47</v>
      </c>
      <c r="Z3" s="9"/>
      <c r="AA3" s="9"/>
      <c r="AB3" s="9"/>
      <c r="AC3" s="9"/>
      <c r="AD3" s="9" t="s">
        <v>48</v>
      </c>
      <c r="AE3" s="8"/>
      <c r="AF3" s="8">
        <f ca="1">COUNTIF(W3:W500,"*within 12*")</f>
        <v>0</v>
      </c>
    </row>
    <row r="4" spans="1:32" ht="38.25" x14ac:dyDescent="0.25">
      <c r="A4" s="9">
        <v>2</v>
      </c>
      <c r="B4" s="9" t="s">
        <v>49</v>
      </c>
      <c r="C4" s="9"/>
      <c r="D4" s="9" t="s">
        <v>41</v>
      </c>
      <c r="E4" s="9" t="s">
        <v>50</v>
      </c>
      <c r="F4" s="9" t="s">
        <v>51</v>
      </c>
      <c r="G4" s="9"/>
      <c r="H4" s="9"/>
      <c r="I4" s="9"/>
      <c r="J4" s="9" t="s">
        <v>44</v>
      </c>
      <c r="K4" s="9" t="s">
        <v>45</v>
      </c>
      <c r="L4" s="9" t="s">
        <v>41</v>
      </c>
      <c r="M4" s="9"/>
      <c r="N4" s="9"/>
      <c r="O4" s="9"/>
      <c r="P4" s="9"/>
      <c r="Q4" s="9"/>
      <c r="R4" s="9"/>
      <c r="S4" s="9" t="s">
        <v>46</v>
      </c>
      <c r="T4" s="9"/>
      <c r="U4" s="9"/>
      <c r="V4" s="9" t="str">
        <f t="shared" ca="1" si="0"/>
        <v/>
      </c>
      <c r="W4" s="9" t="str">
        <f t="shared" ca="1" si="1"/>
        <v/>
      </c>
      <c r="X4" s="9"/>
      <c r="Y4" s="9"/>
      <c r="Z4" s="9"/>
      <c r="AA4" s="9"/>
      <c r="AB4" s="9"/>
      <c r="AC4" s="9"/>
      <c r="AD4" s="9" t="s">
        <v>52</v>
      </c>
      <c r="AE4" s="8"/>
      <c r="AF4" s="8">
        <f>COUNTIF(S3:S500,"No longer maintained")+COUNTIF(S3:S500,"Abandoned")+COUNTIF(S3:S500,"Unknown")</f>
        <v>28</v>
      </c>
    </row>
    <row r="5" spans="1:32" ht="38.25" x14ac:dyDescent="0.25">
      <c r="A5" s="9">
        <v>3</v>
      </c>
      <c r="B5" s="9" t="s">
        <v>53</v>
      </c>
      <c r="C5" s="9" t="s">
        <v>54</v>
      </c>
      <c r="D5" s="9" t="s">
        <v>41</v>
      </c>
      <c r="E5" s="9" t="s">
        <v>42</v>
      </c>
      <c r="F5" s="9" t="s">
        <v>55</v>
      </c>
      <c r="G5" s="9"/>
      <c r="H5" s="9"/>
      <c r="I5" s="9"/>
      <c r="J5" s="9" t="s">
        <v>44</v>
      </c>
      <c r="K5" s="9" t="s">
        <v>45</v>
      </c>
      <c r="L5" s="9" t="s">
        <v>41</v>
      </c>
      <c r="M5" s="9"/>
      <c r="N5" s="9"/>
      <c r="O5" s="9"/>
      <c r="P5" s="9"/>
      <c r="Q5" s="9"/>
      <c r="R5" s="9"/>
      <c r="S5" s="9" t="s">
        <v>46</v>
      </c>
      <c r="T5" s="9"/>
      <c r="U5" s="9"/>
      <c r="V5" s="9" t="str">
        <f t="shared" ca="1" si="0"/>
        <v/>
      </c>
      <c r="W5" s="9" t="str">
        <f t="shared" ca="1" si="1"/>
        <v/>
      </c>
      <c r="X5" s="9" t="s">
        <v>56</v>
      </c>
      <c r="Y5" s="9" t="s">
        <v>57</v>
      </c>
      <c r="Z5" s="9"/>
      <c r="AA5" s="9"/>
      <c r="AB5" s="9"/>
      <c r="AC5" s="9"/>
      <c r="AD5" s="9" t="s">
        <v>58</v>
      </c>
    </row>
    <row r="6" spans="1:32" ht="38.25" x14ac:dyDescent="0.25">
      <c r="A6" s="9">
        <v>4</v>
      </c>
      <c r="B6" s="9" t="s">
        <v>59</v>
      </c>
      <c r="C6" s="9" t="s">
        <v>60</v>
      </c>
      <c r="D6" s="9" t="s">
        <v>41</v>
      </c>
      <c r="E6" s="9" t="s">
        <v>42</v>
      </c>
      <c r="F6" s="9" t="s">
        <v>61</v>
      </c>
      <c r="G6" s="9"/>
      <c r="H6" s="9"/>
      <c r="I6" s="9"/>
      <c r="J6" s="9" t="s">
        <v>44</v>
      </c>
      <c r="K6" s="9" t="s">
        <v>45</v>
      </c>
      <c r="L6" s="9" t="s">
        <v>41</v>
      </c>
      <c r="M6" s="9"/>
      <c r="N6" s="9"/>
      <c r="O6" s="9"/>
      <c r="P6" s="9"/>
      <c r="Q6" s="9"/>
      <c r="R6" s="9"/>
      <c r="S6" s="9" t="s">
        <v>46</v>
      </c>
      <c r="T6" s="9"/>
      <c r="U6" s="9"/>
      <c r="V6" s="9" t="str">
        <f t="shared" ca="1" si="0"/>
        <v/>
      </c>
      <c r="W6" s="9" t="str">
        <f t="shared" ca="1" si="1"/>
        <v/>
      </c>
      <c r="X6" s="9"/>
      <c r="Y6" s="9" t="s">
        <v>62</v>
      </c>
      <c r="Z6" s="9"/>
      <c r="AA6" s="9"/>
      <c r="AB6" s="9"/>
      <c r="AC6" s="9"/>
      <c r="AD6" s="9" t="s">
        <v>58</v>
      </c>
    </row>
    <row r="7" spans="1:32" ht="38.25" x14ac:dyDescent="0.25">
      <c r="A7" s="9">
        <v>5</v>
      </c>
      <c r="B7" s="9" t="s">
        <v>63</v>
      </c>
      <c r="C7" s="9" t="s">
        <v>64</v>
      </c>
      <c r="D7" s="9" t="s">
        <v>41</v>
      </c>
      <c r="E7" s="9" t="s">
        <v>42</v>
      </c>
      <c r="F7" s="9" t="s">
        <v>65</v>
      </c>
      <c r="G7" s="9"/>
      <c r="H7" s="9"/>
      <c r="I7" s="9"/>
      <c r="J7" s="9" t="s">
        <v>44</v>
      </c>
      <c r="K7" s="9" t="s">
        <v>45</v>
      </c>
      <c r="L7" s="9" t="s">
        <v>41</v>
      </c>
      <c r="M7" s="9"/>
      <c r="N7" s="9"/>
      <c r="O7" s="9"/>
      <c r="P7" s="9"/>
      <c r="Q7" s="9"/>
      <c r="R7" s="9"/>
      <c r="S7" s="9" t="s">
        <v>46</v>
      </c>
      <c r="T7" s="9"/>
      <c r="U7" s="9"/>
      <c r="V7" s="9" t="str">
        <f t="shared" ca="1" si="0"/>
        <v/>
      </c>
      <c r="W7" s="9" t="str">
        <f t="shared" ca="1" si="1"/>
        <v/>
      </c>
      <c r="X7" s="9" t="s">
        <v>66</v>
      </c>
      <c r="Y7" s="9" t="s">
        <v>67</v>
      </c>
      <c r="Z7" s="9"/>
      <c r="AA7" s="9"/>
      <c r="AB7" s="9"/>
      <c r="AC7" s="9"/>
      <c r="AD7" s="9" t="s">
        <v>48</v>
      </c>
    </row>
    <row r="8" spans="1:32" ht="38.25" x14ac:dyDescent="0.25">
      <c r="A8" s="9">
        <v>6</v>
      </c>
      <c r="B8" s="9" t="s">
        <v>68</v>
      </c>
      <c r="C8" s="9" t="s">
        <v>69</v>
      </c>
      <c r="D8" s="9" t="s">
        <v>41</v>
      </c>
      <c r="E8" s="9" t="s">
        <v>42</v>
      </c>
      <c r="F8" s="9" t="s">
        <v>70</v>
      </c>
      <c r="G8" s="9"/>
      <c r="H8" s="9"/>
      <c r="I8" s="9"/>
      <c r="J8" s="9" t="s">
        <v>44</v>
      </c>
      <c r="K8" s="9" t="s">
        <v>45</v>
      </c>
      <c r="L8" s="9" t="s">
        <v>41</v>
      </c>
      <c r="M8" s="9"/>
      <c r="N8" s="9"/>
      <c r="O8" s="9"/>
      <c r="P8" s="9"/>
      <c r="Q8" s="9"/>
      <c r="R8" s="9"/>
      <c r="S8" s="9" t="s">
        <v>46</v>
      </c>
      <c r="T8" s="9"/>
      <c r="U8" s="9"/>
      <c r="V8" s="9" t="str">
        <f t="shared" ca="1" si="0"/>
        <v/>
      </c>
      <c r="W8" s="9" t="str">
        <f t="shared" ca="1" si="1"/>
        <v/>
      </c>
      <c r="X8" s="9"/>
      <c r="Y8" s="9"/>
      <c r="Z8" s="9"/>
      <c r="AA8" s="9"/>
      <c r="AB8" s="9"/>
      <c r="AC8" s="9"/>
      <c r="AD8" s="9" t="s">
        <v>58</v>
      </c>
    </row>
    <row r="9" spans="1:32" ht="51" x14ac:dyDescent="0.25">
      <c r="A9" s="9">
        <v>7</v>
      </c>
      <c r="B9" s="9" t="s">
        <v>71</v>
      </c>
      <c r="C9" s="9" t="s">
        <v>72</v>
      </c>
      <c r="D9" s="9" t="s">
        <v>41</v>
      </c>
      <c r="E9" s="9" t="s">
        <v>42</v>
      </c>
      <c r="F9" s="9" t="s">
        <v>73</v>
      </c>
      <c r="G9" s="9"/>
      <c r="H9" s="9"/>
      <c r="I9" s="9"/>
      <c r="J9" s="9" t="s">
        <v>44</v>
      </c>
      <c r="K9" s="9" t="s">
        <v>45</v>
      </c>
      <c r="L9" s="9" t="s">
        <v>41</v>
      </c>
      <c r="M9" s="9"/>
      <c r="N9" s="9"/>
      <c r="O9" s="9"/>
      <c r="P9" s="9"/>
      <c r="Q9" s="9"/>
      <c r="R9" s="9"/>
      <c r="S9" s="9" t="s">
        <v>46</v>
      </c>
      <c r="T9" s="9"/>
      <c r="U9" s="9"/>
      <c r="V9" s="9" t="str">
        <f t="shared" ca="1" si="0"/>
        <v/>
      </c>
      <c r="W9" s="9" t="str">
        <f t="shared" ca="1" si="1"/>
        <v/>
      </c>
      <c r="X9" s="9"/>
      <c r="Y9" s="9" t="s">
        <v>74</v>
      </c>
      <c r="Z9" s="9"/>
      <c r="AA9" s="9"/>
      <c r="AB9" s="9"/>
      <c r="AC9" s="9"/>
      <c r="AD9" s="9" t="s">
        <v>75</v>
      </c>
    </row>
    <row r="10" spans="1:32" ht="38.25" x14ac:dyDescent="0.25">
      <c r="A10" s="9">
        <v>8</v>
      </c>
      <c r="B10" s="9" t="s">
        <v>76</v>
      </c>
      <c r="C10" s="9" t="s">
        <v>77</v>
      </c>
      <c r="D10" s="9" t="s">
        <v>41</v>
      </c>
      <c r="E10" s="9" t="s">
        <v>42</v>
      </c>
      <c r="F10" s="9" t="s">
        <v>78</v>
      </c>
      <c r="G10" s="9"/>
      <c r="H10" s="9"/>
      <c r="I10" s="9"/>
      <c r="J10" s="9" t="s">
        <v>44</v>
      </c>
      <c r="K10" s="9" t="s">
        <v>45</v>
      </c>
      <c r="L10" s="9" t="s">
        <v>41</v>
      </c>
      <c r="M10" s="9"/>
      <c r="N10" s="9"/>
      <c r="O10" s="9"/>
      <c r="P10" s="9"/>
      <c r="Q10" s="9"/>
      <c r="R10" s="9"/>
      <c r="S10" s="9" t="s">
        <v>46</v>
      </c>
      <c r="T10" s="9"/>
      <c r="U10" s="9"/>
      <c r="V10" s="9" t="str">
        <f t="shared" ca="1" si="0"/>
        <v/>
      </c>
      <c r="W10" s="9" t="str">
        <f t="shared" ca="1" si="1"/>
        <v/>
      </c>
      <c r="X10" s="9"/>
      <c r="Y10" s="9"/>
      <c r="Z10" s="9"/>
      <c r="AA10" s="9"/>
      <c r="AB10" s="9"/>
      <c r="AC10" s="9"/>
      <c r="AD10" s="9" t="s">
        <v>79</v>
      </c>
    </row>
    <row r="11" spans="1:32" ht="38.25" x14ac:dyDescent="0.25">
      <c r="A11" s="9">
        <v>9</v>
      </c>
      <c r="B11" s="9" t="s">
        <v>80</v>
      </c>
      <c r="C11" s="9" t="s">
        <v>81</v>
      </c>
      <c r="D11" s="9" t="s">
        <v>41</v>
      </c>
      <c r="E11" s="9" t="s">
        <v>42</v>
      </c>
      <c r="F11" s="9" t="s">
        <v>82</v>
      </c>
      <c r="G11" s="9"/>
      <c r="H11" s="9"/>
      <c r="I11" s="9"/>
      <c r="J11" s="9" t="s">
        <v>44</v>
      </c>
      <c r="K11" s="9" t="s">
        <v>45</v>
      </c>
      <c r="L11" s="9" t="s">
        <v>41</v>
      </c>
      <c r="M11" s="9"/>
      <c r="N11" s="9"/>
      <c r="O11" s="9"/>
      <c r="P11" s="9"/>
      <c r="Q11" s="9"/>
      <c r="R11" s="9"/>
      <c r="S11" s="9" t="s">
        <v>46</v>
      </c>
      <c r="T11" s="9"/>
      <c r="U11" s="9"/>
      <c r="V11" s="9" t="str">
        <f t="shared" ca="1" si="0"/>
        <v/>
      </c>
      <c r="W11" s="9" t="str">
        <f t="shared" ca="1" si="1"/>
        <v/>
      </c>
      <c r="X11" s="9"/>
      <c r="Y11" s="9" t="s">
        <v>83</v>
      </c>
      <c r="Z11" s="9"/>
      <c r="AA11" s="9"/>
      <c r="AB11" s="9"/>
      <c r="AC11" s="9"/>
      <c r="AD11" s="9" t="s">
        <v>84</v>
      </c>
    </row>
    <row r="12" spans="1:32" ht="38.25" x14ac:dyDescent="0.25">
      <c r="A12" s="9">
        <v>10</v>
      </c>
      <c r="B12" s="9" t="s">
        <v>85</v>
      </c>
      <c r="C12" s="9" t="s">
        <v>86</v>
      </c>
      <c r="D12" s="9" t="s">
        <v>41</v>
      </c>
      <c r="E12" s="9" t="s">
        <v>42</v>
      </c>
      <c r="F12" s="9" t="s">
        <v>87</v>
      </c>
      <c r="G12" s="9"/>
      <c r="H12" s="9"/>
      <c r="I12" s="9"/>
      <c r="J12" s="9" t="s">
        <v>44</v>
      </c>
      <c r="K12" s="9" t="s">
        <v>45</v>
      </c>
      <c r="L12" s="9" t="s">
        <v>41</v>
      </c>
      <c r="M12" s="9"/>
      <c r="N12" s="9"/>
      <c r="O12" s="9"/>
      <c r="P12" s="9"/>
      <c r="Q12" s="9"/>
      <c r="R12" s="9"/>
      <c r="S12" s="9" t="s">
        <v>46</v>
      </c>
      <c r="T12" s="9"/>
      <c r="U12" s="9"/>
      <c r="V12" s="9" t="str">
        <f t="shared" ca="1" si="0"/>
        <v/>
      </c>
      <c r="W12" s="9" t="str">
        <f t="shared" ca="1" si="1"/>
        <v/>
      </c>
      <c r="X12" s="9"/>
      <c r="Y12" s="9"/>
      <c r="Z12" s="9"/>
      <c r="AA12" s="9"/>
      <c r="AB12" s="9"/>
      <c r="AC12" s="9"/>
      <c r="AD12" s="9" t="s">
        <v>58</v>
      </c>
    </row>
    <row r="13" spans="1:32" ht="51" x14ac:dyDescent="0.25">
      <c r="A13" s="9">
        <v>11</v>
      </c>
      <c r="B13" s="9" t="s">
        <v>88</v>
      </c>
      <c r="C13" s="9" t="s">
        <v>89</v>
      </c>
      <c r="D13" s="9" t="s">
        <v>41</v>
      </c>
      <c r="E13" s="9" t="s">
        <v>42</v>
      </c>
      <c r="F13" s="9" t="s">
        <v>90</v>
      </c>
      <c r="G13" s="9"/>
      <c r="H13" s="9"/>
      <c r="I13" s="9"/>
      <c r="J13" s="9" t="s">
        <v>44</v>
      </c>
      <c r="K13" s="9" t="s">
        <v>45</v>
      </c>
      <c r="L13" s="9" t="s">
        <v>41</v>
      </c>
      <c r="M13" s="9"/>
      <c r="N13" s="9"/>
      <c r="O13" s="9"/>
      <c r="P13" s="9"/>
      <c r="Q13" s="9"/>
      <c r="R13" s="9"/>
      <c r="S13" s="9" t="s">
        <v>46</v>
      </c>
      <c r="T13" s="9"/>
      <c r="U13" s="9"/>
      <c r="V13" s="9" t="str">
        <f t="shared" ca="1" si="0"/>
        <v/>
      </c>
      <c r="W13" s="9" t="str">
        <f t="shared" ca="1" si="1"/>
        <v/>
      </c>
      <c r="X13" s="9"/>
      <c r="Y13" s="9" t="s">
        <v>91</v>
      </c>
      <c r="Z13" s="9"/>
      <c r="AA13" s="9"/>
      <c r="AB13" s="9"/>
      <c r="AC13" s="9"/>
      <c r="AD13" s="9" t="s">
        <v>75</v>
      </c>
    </row>
    <row r="14" spans="1:32" ht="51" x14ac:dyDescent="0.25">
      <c r="A14" s="9">
        <v>12</v>
      </c>
      <c r="B14" s="9" t="s">
        <v>92</v>
      </c>
      <c r="C14" s="9" t="s">
        <v>93</v>
      </c>
      <c r="D14" s="9" t="s">
        <v>41</v>
      </c>
      <c r="E14" s="9" t="s">
        <v>42</v>
      </c>
      <c r="F14" s="9" t="s">
        <v>94</v>
      </c>
      <c r="G14" s="9"/>
      <c r="H14" s="9"/>
      <c r="I14" s="9"/>
      <c r="J14" s="9" t="s">
        <v>44</v>
      </c>
      <c r="K14" s="9" t="s">
        <v>45</v>
      </c>
      <c r="L14" s="9" t="s">
        <v>41</v>
      </c>
      <c r="M14" s="9"/>
      <c r="N14" s="9"/>
      <c r="O14" s="9"/>
      <c r="P14" s="9"/>
      <c r="Q14" s="9"/>
      <c r="R14" s="9"/>
      <c r="S14" s="9" t="s">
        <v>46</v>
      </c>
      <c r="T14" s="9"/>
      <c r="U14" s="9"/>
      <c r="V14" s="9" t="str">
        <f t="shared" ca="1" si="0"/>
        <v/>
      </c>
      <c r="W14" s="9" t="str">
        <f t="shared" ca="1" si="1"/>
        <v/>
      </c>
      <c r="X14" s="9"/>
      <c r="Y14" s="9"/>
      <c r="Z14" s="9"/>
      <c r="AA14" s="9"/>
      <c r="AB14" s="9"/>
      <c r="AC14" s="9"/>
      <c r="AD14" s="9" t="s">
        <v>75</v>
      </c>
    </row>
    <row r="15" spans="1:32" ht="63.75" x14ac:dyDescent="0.25">
      <c r="A15" s="9">
        <v>13</v>
      </c>
      <c r="B15" s="9" t="s">
        <v>95</v>
      </c>
      <c r="C15" s="9" t="s">
        <v>96</v>
      </c>
      <c r="D15" s="9" t="s">
        <v>41</v>
      </c>
      <c r="E15" s="9" t="s">
        <v>42</v>
      </c>
      <c r="F15" s="9" t="s">
        <v>97</v>
      </c>
      <c r="G15" s="9"/>
      <c r="H15" s="9"/>
      <c r="I15" s="9"/>
      <c r="J15" s="9" t="s">
        <v>44</v>
      </c>
      <c r="K15" s="9" t="s">
        <v>45</v>
      </c>
      <c r="L15" s="9" t="s">
        <v>41</v>
      </c>
      <c r="M15" s="9"/>
      <c r="N15" s="9"/>
      <c r="O15" s="9"/>
      <c r="P15" s="9"/>
      <c r="Q15" s="9"/>
      <c r="R15" s="9"/>
      <c r="S15" s="9" t="s">
        <v>46</v>
      </c>
      <c r="T15" s="9"/>
      <c r="U15" s="9"/>
      <c r="V15" s="9" t="str">
        <f t="shared" ca="1" si="0"/>
        <v/>
      </c>
      <c r="W15" s="9" t="str">
        <f t="shared" ca="1" si="1"/>
        <v/>
      </c>
      <c r="X15" s="9"/>
      <c r="Y15" s="9" t="s">
        <v>98</v>
      </c>
      <c r="Z15" s="9"/>
      <c r="AA15" s="9"/>
      <c r="AB15" s="9"/>
      <c r="AC15" s="9"/>
      <c r="AD15" s="9" t="s">
        <v>99</v>
      </c>
    </row>
    <row r="16" spans="1:32" ht="140.25" x14ac:dyDescent="0.25">
      <c r="A16" s="9">
        <v>14</v>
      </c>
      <c r="B16" s="9" t="s">
        <v>100</v>
      </c>
      <c r="C16" s="9" t="s">
        <v>101</v>
      </c>
      <c r="D16" s="9" t="s">
        <v>41</v>
      </c>
      <c r="E16" s="9" t="s">
        <v>42</v>
      </c>
      <c r="F16" s="9" t="s">
        <v>102</v>
      </c>
      <c r="G16" s="9"/>
      <c r="H16" s="9"/>
      <c r="I16" s="9"/>
      <c r="J16" s="9" t="s">
        <v>44</v>
      </c>
      <c r="K16" s="9" t="s">
        <v>45</v>
      </c>
      <c r="L16" s="9" t="s">
        <v>41</v>
      </c>
      <c r="M16" s="9"/>
      <c r="N16" s="9"/>
      <c r="O16" s="9"/>
      <c r="P16" s="9"/>
      <c r="Q16" s="9"/>
      <c r="R16" s="9"/>
      <c r="S16" s="9" t="s">
        <v>46</v>
      </c>
      <c r="T16" s="9"/>
      <c r="U16" s="9"/>
      <c r="V16" s="9" t="str">
        <f t="shared" ca="1" si="0"/>
        <v/>
      </c>
      <c r="W16" s="9" t="str">
        <f t="shared" ca="1" si="1"/>
        <v/>
      </c>
      <c r="X16" s="9" t="s">
        <v>103</v>
      </c>
      <c r="Y16" s="9" t="s">
        <v>104</v>
      </c>
      <c r="Z16" s="9"/>
      <c r="AA16" s="9"/>
      <c r="AB16" s="9"/>
      <c r="AC16" s="9"/>
      <c r="AD16" s="9" t="s">
        <v>75</v>
      </c>
    </row>
    <row r="17" spans="1:30" ht="51" x14ac:dyDescent="0.25">
      <c r="A17" s="9">
        <v>15</v>
      </c>
      <c r="B17" s="9" t="s">
        <v>105</v>
      </c>
      <c r="C17" s="9" t="s">
        <v>106</v>
      </c>
      <c r="D17" s="9" t="s">
        <v>41</v>
      </c>
      <c r="E17" s="9" t="s">
        <v>42</v>
      </c>
      <c r="F17" s="9" t="s">
        <v>107</v>
      </c>
      <c r="G17" s="9"/>
      <c r="H17" s="9"/>
      <c r="I17" s="9"/>
      <c r="J17" s="9" t="s">
        <v>44</v>
      </c>
      <c r="K17" s="9" t="s">
        <v>45</v>
      </c>
      <c r="L17" s="9" t="s">
        <v>41</v>
      </c>
      <c r="M17" s="9"/>
      <c r="N17" s="9"/>
      <c r="O17" s="9"/>
      <c r="P17" s="9"/>
      <c r="Q17" s="9"/>
      <c r="R17" s="9"/>
      <c r="S17" s="9" t="s">
        <v>46</v>
      </c>
      <c r="T17" s="9"/>
      <c r="U17" s="9"/>
      <c r="V17" s="9" t="str">
        <f t="shared" ca="1" si="0"/>
        <v/>
      </c>
      <c r="W17" s="9" t="str">
        <f t="shared" ca="1" si="1"/>
        <v/>
      </c>
      <c r="X17" s="9"/>
      <c r="Y17" s="9"/>
      <c r="Z17" s="9"/>
      <c r="AA17" s="9"/>
      <c r="AB17" s="9"/>
      <c r="AC17" s="9"/>
      <c r="AD17" s="9" t="s">
        <v>75</v>
      </c>
    </row>
    <row r="18" spans="1:30" ht="51" x14ac:dyDescent="0.25">
      <c r="A18" s="9">
        <v>16</v>
      </c>
      <c r="B18" s="9" t="s">
        <v>108</v>
      </c>
      <c r="C18" s="9" t="s">
        <v>109</v>
      </c>
      <c r="D18" s="9" t="s">
        <v>41</v>
      </c>
      <c r="E18" s="9" t="s">
        <v>42</v>
      </c>
      <c r="F18" s="9" t="s">
        <v>110</v>
      </c>
      <c r="G18" s="9"/>
      <c r="H18" s="9"/>
      <c r="I18" s="9"/>
      <c r="J18" s="9" t="s">
        <v>44</v>
      </c>
      <c r="K18" s="9" t="s">
        <v>45</v>
      </c>
      <c r="L18" s="9" t="s">
        <v>41</v>
      </c>
      <c r="M18" s="9"/>
      <c r="N18" s="9"/>
      <c r="O18" s="9"/>
      <c r="P18" s="9"/>
      <c r="Q18" s="9"/>
      <c r="R18" s="9"/>
      <c r="S18" s="9" t="s">
        <v>46</v>
      </c>
      <c r="T18" s="9"/>
      <c r="U18" s="9"/>
      <c r="V18" s="9" t="str">
        <f t="shared" ca="1" si="0"/>
        <v/>
      </c>
      <c r="W18" s="9" t="str">
        <f t="shared" ca="1" si="1"/>
        <v/>
      </c>
      <c r="X18" s="9"/>
      <c r="Y18" s="9"/>
      <c r="Z18" s="9"/>
      <c r="AA18" s="9"/>
      <c r="AB18" s="9"/>
      <c r="AC18" s="9"/>
      <c r="AD18" s="9" t="s">
        <v>75</v>
      </c>
    </row>
    <row r="19" spans="1:30" ht="63.75" x14ac:dyDescent="0.25">
      <c r="A19" s="9">
        <v>17</v>
      </c>
      <c r="B19" s="9" t="s">
        <v>111</v>
      </c>
      <c r="C19" s="9" t="s">
        <v>112</v>
      </c>
      <c r="D19" s="9" t="s">
        <v>41</v>
      </c>
      <c r="E19" s="9" t="s">
        <v>42</v>
      </c>
      <c r="F19" s="9" t="s">
        <v>113</v>
      </c>
      <c r="G19" s="9"/>
      <c r="H19" s="9"/>
      <c r="I19" s="9"/>
      <c r="J19" s="9" t="s">
        <v>44</v>
      </c>
      <c r="K19" s="9" t="s">
        <v>45</v>
      </c>
      <c r="L19" s="9" t="s">
        <v>41</v>
      </c>
      <c r="M19" s="9"/>
      <c r="N19" s="9"/>
      <c r="O19" s="9"/>
      <c r="P19" s="9"/>
      <c r="Q19" s="9"/>
      <c r="R19" s="9"/>
      <c r="S19" s="9" t="s">
        <v>46</v>
      </c>
      <c r="T19" s="9"/>
      <c r="U19" s="9"/>
      <c r="V19" s="9" t="str">
        <f t="shared" ca="1" si="0"/>
        <v/>
      </c>
      <c r="W19" s="9" t="str">
        <f t="shared" ca="1" si="1"/>
        <v/>
      </c>
      <c r="X19" s="9"/>
      <c r="Y19" s="9" t="s">
        <v>114</v>
      </c>
      <c r="Z19" s="9"/>
      <c r="AA19" s="9"/>
      <c r="AB19" s="9"/>
      <c r="AC19" s="9"/>
      <c r="AD19" s="9" t="s">
        <v>115</v>
      </c>
    </row>
    <row r="20" spans="1:30" ht="63.75" x14ac:dyDescent="0.25">
      <c r="A20" s="9">
        <v>18</v>
      </c>
      <c r="B20" s="9" t="s">
        <v>116</v>
      </c>
      <c r="C20" s="9" t="s">
        <v>117</v>
      </c>
      <c r="D20" s="9" t="s">
        <v>41</v>
      </c>
      <c r="E20" s="9" t="s">
        <v>42</v>
      </c>
      <c r="F20" s="9" t="s">
        <v>118</v>
      </c>
      <c r="G20" s="9"/>
      <c r="H20" s="9"/>
      <c r="I20" s="9"/>
      <c r="J20" s="9" t="s">
        <v>44</v>
      </c>
      <c r="K20" s="9" t="s">
        <v>45</v>
      </c>
      <c r="L20" s="9" t="s">
        <v>41</v>
      </c>
      <c r="M20" s="9"/>
      <c r="N20" s="9"/>
      <c r="O20" s="9"/>
      <c r="P20" s="9"/>
      <c r="Q20" s="9"/>
      <c r="R20" s="9"/>
      <c r="S20" s="9" t="s">
        <v>46</v>
      </c>
      <c r="T20" s="9"/>
      <c r="U20" s="9"/>
      <c r="V20" s="9" t="str">
        <f t="shared" ca="1" si="0"/>
        <v/>
      </c>
      <c r="W20" s="9" t="str">
        <f t="shared" ca="1" si="1"/>
        <v/>
      </c>
      <c r="X20" s="9"/>
      <c r="Y20" s="9" t="s">
        <v>119</v>
      </c>
      <c r="Z20" s="9"/>
      <c r="AA20" s="9"/>
      <c r="AB20" s="9"/>
      <c r="AC20" s="9"/>
      <c r="AD20" s="9" t="s">
        <v>115</v>
      </c>
    </row>
    <row r="21" spans="1:30" ht="38.25" x14ac:dyDescent="0.25">
      <c r="A21" s="9">
        <v>19</v>
      </c>
      <c r="B21" s="9" t="s">
        <v>120</v>
      </c>
      <c r="C21" s="9" t="s">
        <v>121</v>
      </c>
      <c r="D21" s="9" t="s">
        <v>41</v>
      </c>
      <c r="E21" s="9" t="s">
        <v>42</v>
      </c>
      <c r="F21" s="9" t="s">
        <v>122</v>
      </c>
      <c r="G21" s="9"/>
      <c r="H21" s="9"/>
      <c r="I21" s="9"/>
      <c r="J21" s="9" t="s">
        <v>44</v>
      </c>
      <c r="K21" s="9" t="s">
        <v>45</v>
      </c>
      <c r="L21" s="9" t="s">
        <v>41</v>
      </c>
      <c r="M21" s="9"/>
      <c r="N21" s="9"/>
      <c r="O21" s="9"/>
      <c r="P21" s="9"/>
      <c r="Q21" s="9"/>
      <c r="R21" s="9"/>
      <c r="S21" s="9" t="s">
        <v>46</v>
      </c>
      <c r="T21" s="9"/>
      <c r="U21" s="9"/>
      <c r="V21" s="9" t="str">
        <f t="shared" ca="1" si="0"/>
        <v/>
      </c>
      <c r="W21" s="9" t="str">
        <f t="shared" ca="1" si="1"/>
        <v/>
      </c>
      <c r="X21" s="9"/>
      <c r="Y21" s="9" t="s">
        <v>123</v>
      </c>
      <c r="Z21" s="9"/>
      <c r="AA21" s="9"/>
      <c r="AB21" s="9"/>
      <c r="AC21" s="9"/>
      <c r="AD21" s="9" t="s">
        <v>124</v>
      </c>
    </row>
    <row r="22" spans="1:30" ht="38.25" x14ac:dyDescent="0.25">
      <c r="A22" s="9">
        <v>20</v>
      </c>
      <c r="B22" s="9" t="s">
        <v>125</v>
      </c>
      <c r="C22" s="9" t="s">
        <v>126</v>
      </c>
      <c r="D22" s="9" t="s">
        <v>41</v>
      </c>
      <c r="E22" s="9" t="s">
        <v>42</v>
      </c>
      <c r="F22" s="9" t="s">
        <v>127</v>
      </c>
      <c r="G22" s="9"/>
      <c r="H22" s="9"/>
      <c r="I22" s="9"/>
      <c r="J22" s="9" t="s">
        <v>44</v>
      </c>
      <c r="K22" s="9" t="s">
        <v>45</v>
      </c>
      <c r="L22" s="9" t="s">
        <v>41</v>
      </c>
      <c r="M22" s="9"/>
      <c r="N22" s="9"/>
      <c r="O22" s="9"/>
      <c r="P22" s="9"/>
      <c r="Q22" s="9"/>
      <c r="R22" s="9"/>
      <c r="S22" s="9" t="s">
        <v>46</v>
      </c>
      <c r="T22" s="9"/>
      <c r="U22" s="9"/>
      <c r="V22" s="9" t="str">
        <f t="shared" ca="1" si="0"/>
        <v/>
      </c>
      <c r="W22" s="9" t="str">
        <f t="shared" ca="1" si="1"/>
        <v/>
      </c>
      <c r="X22" s="9"/>
      <c r="Y22" s="9"/>
      <c r="Z22" s="9"/>
      <c r="AA22" s="9"/>
      <c r="AB22" s="9"/>
      <c r="AC22" s="9"/>
      <c r="AD22" s="9" t="s">
        <v>124</v>
      </c>
    </row>
    <row r="23" spans="1:30" ht="25.5" x14ac:dyDescent="0.25">
      <c r="A23" s="9">
        <v>21</v>
      </c>
      <c r="B23" s="9" t="s">
        <v>128</v>
      </c>
      <c r="C23" s="9"/>
      <c r="D23" s="9" t="s">
        <v>41</v>
      </c>
      <c r="E23" s="9" t="s">
        <v>42</v>
      </c>
      <c r="F23" s="9" t="s">
        <v>129</v>
      </c>
      <c r="G23" s="9"/>
      <c r="H23" s="9"/>
      <c r="I23" s="9"/>
      <c r="J23" s="9" t="s">
        <v>44</v>
      </c>
      <c r="K23" s="9" t="s">
        <v>45</v>
      </c>
      <c r="L23" s="9" t="s">
        <v>41</v>
      </c>
      <c r="M23" s="9"/>
      <c r="N23" s="9"/>
      <c r="O23" s="9"/>
      <c r="P23" s="9"/>
      <c r="Q23" s="9"/>
      <c r="R23" s="9"/>
      <c r="S23" s="9" t="s">
        <v>46</v>
      </c>
      <c r="T23" s="9"/>
      <c r="U23" s="9"/>
      <c r="V23" s="9" t="str">
        <f t="shared" ca="1" si="0"/>
        <v/>
      </c>
      <c r="W23" s="9" t="str">
        <f t="shared" ca="1" si="1"/>
        <v/>
      </c>
      <c r="X23" s="9"/>
      <c r="Y23" s="9"/>
      <c r="Z23" s="9"/>
      <c r="AA23" s="9"/>
      <c r="AB23" s="9"/>
      <c r="AC23" s="9"/>
      <c r="AD23" s="9" t="s">
        <v>52</v>
      </c>
    </row>
    <row r="24" spans="1:30" ht="63.75" x14ac:dyDescent="0.25">
      <c r="A24" s="9">
        <v>22</v>
      </c>
      <c r="B24" s="9" t="s">
        <v>130</v>
      </c>
      <c r="C24" s="9" t="s">
        <v>131</v>
      </c>
      <c r="D24" s="9" t="s">
        <v>41</v>
      </c>
      <c r="E24" s="9" t="s">
        <v>42</v>
      </c>
      <c r="F24" s="9" t="s">
        <v>132</v>
      </c>
      <c r="G24" s="9"/>
      <c r="H24" s="9"/>
      <c r="I24" s="9"/>
      <c r="J24" s="9" t="s">
        <v>44</v>
      </c>
      <c r="K24" s="9" t="s">
        <v>45</v>
      </c>
      <c r="L24" s="9" t="s">
        <v>41</v>
      </c>
      <c r="M24" s="9"/>
      <c r="N24" s="9"/>
      <c r="O24" s="9"/>
      <c r="P24" s="9"/>
      <c r="Q24" s="9"/>
      <c r="R24" s="9"/>
      <c r="S24" s="9" t="s">
        <v>46</v>
      </c>
      <c r="T24" s="9"/>
      <c r="U24" s="9"/>
      <c r="V24" s="9" t="str">
        <f t="shared" ca="1" si="0"/>
        <v/>
      </c>
      <c r="W24" s="9" t="str">
        <f t="shared" ca="1" si="1"/>
        <v/>
      </c>
      <c r="X24" s="9" t="s">
        <v>133</v>
      </c>
      <c r="Y24" s="9" t="s">
        <v>134</v>
      </c>
      <c r="Z24" s="9"/>
      <c r="AA24" s="9"/>
      <c r="AB24" s="9"/>
      <c r="AC24" s="9"/>
      <c r="AD24" s="9" t="s">
        <v>135</v>
      </c>
    </row>
    <row r="25" spans="1:30" ht="38.25" x14ac:dyDescent="0.25">
      <c r="A25" s="9">
        <v>23</v>
      </c>
      <c r="B25" s="9" t="s">
        <v>136</v>
      </c>
      <c r="C25" s="9" t="s">
        <v>137</v>
      </c>
      <c r="D25" s="9" t="s">
        <v>41</v>
      </c>
      <c r="E25" s="9" t="s">
        <v>42</v>
      </c>
      <c r="F25" s="9" t="s">
        <v>138</v>
      </c>
      <c r="G25" s="9"/>
      <c r="H25" s="9"/>
      <c r="I25" s="9"/>
      <c r="J25" s="9" t="s">
        <v>44</v>
      </c>
      <c r="K25" s="9" t="s">
        <v>45</v>
      </c>
      <c r="L25" s="9" t="s">
        <v>41</v>
      </c>
      <c r="M25" s="9"/>
      <c r="N25" s="9"/>
      <c r="O25" s="9"/>
      <c r="P25" s="9"/>
      <c r="Q25" s="9"/>
      <c r="R25" s="9"/>
      <c r="S25" s="9" t="s">
        <v>46</v>
      </c>
      <c r="T25" s="9"/>
      <c r="U25" s="9"/>
      <c r="V25" s="9" t="str">
        <f t="shared" ca="1" si="0"/>
        <v/>
      </c>
      <c r="W25" s="9" t="str">
        <f t="shared" ca="1" si="1"/>
        <v/>
      </c>
      <c r="X25" s="9"/>
      <c r="Y25" s="9"/>
      <c r="Z25" s="9"/>
      <c r="AA25" s="9"/>
      <c r="AB25" s="9"/>
      <c r="AC25" s="9"/>
      <c r="AD25" s="9" t="s">
        <v>58</v>
      </c>
    </row>
    <row r="26" spans="1:30" ht="51" x14ac:dyDescent="0.25">
      <c r="A26" s="9">
        <v>24</v>
      </c>
      <c r="B26" s="9" t="s">
        <v>139</v>
      </c>
      <c r="C26" s="9" t="s">
        <v>140</v>
      </c>
      <c r="D26" s="9" t="s">
        <v>41</v>
      </c>
      <c r="E26" s="9" t="s">
        <v>42</v>
      </c>
      <c r="F26" s="9" t="s">
        <v>141</v>
      </c>
      <c r="G26" s="9"/>
      <c r="H26" s="9"/>
      <c r="I26" s="9"/>
      <c r="J26" s="9" t="s">
        <v>44</v>
      </c>
      <c r="K26" s="9" t="s">
        <v>45</v>
      </c>
      <c r="L26" s="9" t="s">
        <v>41</v>
      </c>
      <c r="M26" s="9"/>
      <c r="N26" s="9"/>
      <c r="O26" s="9"/>
      <c r="P26" s="9"/>
      <c r="Q26" s="9"/>
      <c r="R26" s="9"/>
      <c r="S26" s="9" t="s">
        <v>46</v>
      </c>
      <c r="T26" s="9"/>
      <c r="U26" s="9"/>
      <c r="V26" s="9" t="str">
        <f t="shared" ca="1" si="0"/>
        <v/>
      </c>
      <c r="W26" s="9" t="str">
        <f t="shared" ca="1" si="1"/>
        <v/>
      </c>
      <c r="X26" s="9"/>
      <c r="Y26" s="9"/>
      <c r="Z26" s="9"/>
      <c r="AA26" s="9"/>
      <c r="AB26" s="9"/>
      <c r="AC26" s="9"/>
      <c r="AD26" s="9" t="s">
        <v>75</v>
      </c>
    </row>
    <row r="27" spans="1:30" ht="63.75" x14ac:dyDescent="0.25">
      <c r="A27" s="9">
        <v>25</v>
      </c>
      <c r="B27" s="9" t="s">
        <v>142</v>
      </c>
      <c r="C27" s="9" t="s">
        <v>143</v>
      </c>
      <c r="D27" s="9" t="s">
        <v>41</v>
      </c>
      <c r="E27" s="9" t="s">
        <v>42</v>
      </c>
      <c r="F27" s="9" t="s">
        <v>144</v>
      </c>
      <c r="G27" s="9"/>
      <c r="H27" s="9"/>
      <c r="I27" s="9"/>
      <c r="J27" s="9" t="s">
        <v>44</v>
      </c>
      <c r="K27" s="9" t="s">
        <v>45</v>
      </c>
      <c r="L27" s="9" t="s">
        <v>41</v>
      </c>
      <c r="M27" s="9"/>
      <c r="N27" s="9"/>
      <c r="O27" s="9"/>
      <c r="P27" s="9"/>
      <c r="Q27" s="9"/>
      <c r="R27" s="9"/>
      <c r="S27" s="9" t="s">
        <v>46</v>
      </c>
      <c r="T27" s="9"/>
      <c r="U27" s="9"/>
      <c r="V27" s="9" t="str">
        <f t="shared" ca="1" si="0"/>
        <v/>
      </c>
      <c r="W27" s="9" t="str">
        <f t="shared" ca="1" si="1"/>
        <v/>
      </c>
      <c r="X27" s="9" t="s">
        <v>145</v>
      </c>
      <c r="Y27" s="9" t="s">
        <v>146</v>
      </c>
      <c r="Z27" s="9"/>
      <c r="AA27" s="9"/>
      <c r="AB27" s="9"/>
      <c r="AC27" s="9"/>
      <c r="AD27" s="9" t="s">
        <v>75</v>
      </c>
    </row>
    <row r="28" spans="1:30" ht="38.25" x14ac:dyDescent="0.25">
      <c r="A28" s="9">
        <v>26</v>
      </c>
      <c r="B28" s="9" t="s">
        <v>147</v>
      </c>
      <c r="C28" s="9" t="s">
        <v>148</v>
      </c>
      <c r="D28" s="9" t="s">
        <v>41</v>
      </c>
      <c r="E28" s="9" t="s">
        <v>42</v>
      </c>
      <c r="F28" s="9" t="s">
        <v>149</v>
      </c>
      <c r="G28" s="9"/>
      <c r="H28" s="9"/>
      <c r="I28" s="9"/>
      <c r="J28" s="9" t="s">
        <v>44</v>
      </c>
      <c r="K28" s="9" t="s">
        <v>45</v>
      </c>
      <c r="L28" s="9" t="s">
        <v>41</v>
      </c>
      <c r="M28" s="9"/>
      <c r="N28" s="9"/>
      <c r="O28" s="9"/>
      <c r="P28" s="9"/>
      <c r="Q28" s="9"/>
      <c r="R28" s="9"/>
      <c r="S28" s="9" t="s">
        <v>46</v>
      </c>
      <c r="T28" s="9"/>
      <c r="U28" s="9"/>
      <c r="V28" s="9" t="str">
        <f t="shared" ca="1" si="0"/>
        <v/>
      </c>
      <c r="W28" s="9" t="str">
        <f t="shared" ca="1" si="1"/>
        <v/>
      </c>
      <c r="X28" s="9"/>
      <c r="Y28" s="9" t="s">
        <v>150</v>
      </c>
      <c r="Z28" s="9"/>
      <c r="AA28" s="9"/>
      <c r="AB28" s="9"/>
      <c r="AC28" s="9"/>
      <c r="AD28" s="9" t="s">
        <v>151</v>
      </c>
    </row>
    <row r="29" spans="1:30" ht="38.25" x14ac:dyDescent="0.25">
      <c r="A29" s="9">
        <v>27</v>
      </c>
      <c r="B29" s="9" t="s">
        <v>152</v>
      </c>
      <c r="C29" s="9" t="s">
        <v>153</v>
      </c>
      <c r="D29" s="9" t="s">
        <v>41</v>
      </c>
      <c r="E29" s="9" t="s">
        <v>42</v>
      </c>
      <c r="F29" s="9" t="s">
        <v>154</v>
      </c>
      <c r="G29" s="9"/>
      <c r="H29" s="9"/>
      <c r="I29" s="9"/>
      <c r="J29" s="9" t="s">
        <v>44</v>
      </c>
      <c r="K29" s="9" t="s">
        <v>45</v>
      </c>
      <c r="L29" s="9" t="s">
        <v>41</v>
      </c>
      <c r="M29" s="9"/>
      <c r="N29" s="9"/>
      <c r="O29" s="9"/>
      <c r="P29" s="9"/>
      <c r="Q29" s="9"/>
      <c r="R29" s="9"/>
      <c r="S29" s="9" t="s">
        <v>46</v>
      </c>
      <c r="T29" s="9"/>
      <c r="U29" s="9"/>
      <c r="V29" s="9" t="str">
        <f t="shared" ca="1" si="0"/>
        <v/>
      </c>
      <c r="W29" s="9" t="str">
        <f t="shared" ca="1" si="1"/>
        <v/>
      </c>
      <c r="X29" s="9"/>
      <c r="Y29" s="9"/>
      <c r="Z29" s="9"/>
      <c r="AA29" s="9"/>
      <c r="AB29" s="9"/>
      <c r="AC29" s="9"/>
      <c r="AD29" s="9" t="s">
        <v>155</v>
      </c>
    </row>
    <row r="30" spans="1:30" ht="38.25" x14ac:dyDescent="0.25">
      <c r="A30" s="9">
        <v>28</v>
      </c>
      <c r="B30" s="9" t="s">
        <v>156</v>
      </c>
      <c r="C30" s="9" t="s">
        <v>157</v>
      </c>
      <c r="D30" s="9" t="s">
        <v>41</v>
      </c>
      <c r="E30" s="9" t="s">
        <v>42</v>
      </c>
      <c r="F30" s="9" t="s">
        <v>158</v>
      </c>
      <c r="G30" s="9"/>
      <c r="H30" s="9"/>
      <c r="I30" s="9"/>
      <c r="J30" s="9" t="s">
        <v>44</v>
      </c>
      <c r="K30" s="9" t="s">
        <v>45</v>
      </c>
      <c r="L30" s="9" t="s">
        <v>41</v>
      </c>
      <c r="M30" s="9"/>
      <c r="N30" s="9"/>
      <c r="O30" s="9"/>
      <c r="P30" s="9"/>
      <c r="Q30" s="9"/>
      <c r="R30" s="9"/>
      <c r="S30" s="9" t="s">
        <v>46</v>
      </c>
      <c r="T30" s="9"/>
      <c r="U30" s="9"/>
      <c r="V30" s="9" t="str">
        <f t="shared" ca="1" si="0"/>
        <v/>
      </c>
      <c r="W30" s="9" t="str">
        <f t="shared" ca="1" si="1"/>
        <v/>
      </c>
      <c r="X30" s="9"/>
      <c r="Y30" s="9"/>
      <c r="Z30" s="9"/>
      <c r="AA30" s="9"/>
      <c r="AB30" s="9"/>
      <c r="AC30" s="9"/>
      <c r="AD30" s="9" t="s">
        <v>48</v>
      </c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 t="str">
        <f t="shared" ca="1" si="0"/>
        <v/>
      </c>
      <c r="W31" s="9" t="str">
        <f t="shared" ca="1" si="1"/>
        <v/>
      </c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 t="str">
        <f t="shared" ca="1" si="0"/>
        <v/>
      </c>
      <c r="W32" s="9" t="str">
        <f t="shared" ca="1" si="1"/>
        <v/>
      </c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 t="str">
        <f t="shared" ca="1" si="0"/>
        <v/>
      </c>
      <c r="W33" s="9" t="str">
        <f t="shared" ca="1" si="1"/>
        <v/>
      </c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 t="str">
        <f t="shared" ca="1" si="0"/>
        <v/>
      </c>
      <c r="W34" s="9" t="str">
        <f t="shared" ca="1" si="1"/>
        <v/>
      </c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 t="str">
        <f t="shared" ca="1" si="0"/>
        <v/>
      </c>
      <c r="W35" s="9" t="str">
        <f t="shared" ca="1" si="1"/>
        <v/>
      </c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 t="str">
        <f t="shared" ca="1" si="0"/>
        <v/>
      </c>
      <c r="W36" s="9" t="str">
        <f t="shared" ca="1" si="1"/>
        <v/>
      </c>
      <c r="X36" s="9"/>
      <c r="Y36" s="9"/>
      <c r="Z36" s="9"/>
      <c r="AA36" s="9"/>
      <c r="AB36" s="9"/>
      <c r="AC36" s="9"/>
      <c r="AD36" s="9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 t="str">
        <f t="shared" ca="1" si="0"/>
        <v/>
      </c>
      <c r="W37" s="9" t="str">
        <f t="shared" ca="1" si="1"/>
        <v/>
      </c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 t="str">
        <f t="shared" ca="1" si="0"/>
        <v/>
      </c>
      <c r="W38" s="9" t="str">
        <f t="shared" ca="1" si="1"/>
        <v/>
      </c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 t="str">
        <f t="shared" ca="1" si="0"/>
        <v/>
      </c>
      <c r="W39" s="9" t="str">
        <f t="shared" ca="1" si="1"/>
        <v/>
      </c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 t="str">
        <f t="shared" ca="1" si="0"/>
        <v/>
      </c>
      <c r="W40" s="9" t="str">
        <f t="shared" ca="1" si="1"/>
        <v/>
      </c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 t="str">
        <f t="shared" ca="1" si="0"/>
        <v/>
      </c>
      <c r="W41" s="9" t="str">
        <f t="shared" ca="1" si="1"/>
        <v/>
      </c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 t="str">
        <f t="shared" ca="1" si="0"/>
        <v/>
      </c>
      <c r="W42" s="9" t="str">
        <f t="shared" ca="1" si="1"/>
        <v/>
      </c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 t="str">
        <f t="shared" ca="1" si="0"/>
        <v/>
      </c>
      <c r="W43" s="9" t="str">
        <f t="shared" ca="1" si="1"/>
        <v/>
      </c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 t="str">
        <f t="shared" ca="1" si="0"/>
        <v/>
      </c>
      <c r="W44" s="9" t="str">
        <f t="shared" ca="1" si="1"/>
        <v/>
      </c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 t="str">
        <f t="shared" ca="1" si="0"/>
        <v/>
      </c>
      <c r="W45" s="9" t="str">
        <f t="shared" ca="1" si="1"/>
        <v/>
      </c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 t="str">
        <f t="shared" ca="1" si="0"/>
        <v/>
      </c>
      <c r="W46" s="9" t="str">
        <f t="shared" ca="1" si="1"/>
        <v/>
      </c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 t="str">
        <f t="shared" ca="1" si="0"/>
        <v/>
      </c>
      <c r="W47" s="9" t="str">
        <f t="shared" ca="1" si="1"/>
        <v/>
      </c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 t="str">
        <f t="shared" ca="1" si="0"/>
        <v/>
      </c>
      <c r="W48" s="9" t="str">
        <f t="shared" ca="1" si="1"/>
        <v/>
      </c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 t="str">
        <f t="shared" ca="1" si="0"/>
        <v/>
      </c>
      <c r="W49" s="9" t="str">
        <f t="shared" ca="1" si="1"/>
        <v/>
      </c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 t="str">
        <f t="shared" ca="1" si="0"/>
        <v/>
      </c>
      <c r="W50" s="9" t="str">
        <f t="shared" ca="1" si="1"/>
        <v/>
      </c>
      <c r="X50" s="9"/>
      <c r="Y50" s="9"/>
      <c r="Z50" s="9"/>
      <c r="AA50" s="9"/>
      <c r="AB50" s="9"/>
      <c r="AC50" s="9"/>
      <c r="AD50" s="9"/>
    </row>
    <row r="51" spans="1:30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 t="str">
        <f t="shared" ca="1" si="0"/>
        <v/>
      </c>
      <c r="W51" s="9" t="str">
        <f t="shared" ca="1" si="1"/>
        <v/>
      </c>
      <c r="X51" s="9"/>
      <c r="Y51" s="9"/>
      <c r="Z51" s="9"/>
      <c r="AA51" s="9"/>
      <c r="AB51" s="9"/>
      <c r="AC51" s="9"/>
      <c r="AD51" s="9"/>
    </row>
    <row r="52" spans="1:30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 t="str">
        <f t="shared" ca="1" si="0"/>
        <v/>
      </c>
      <c r="W52" s="9" t="str">
        <f t="shared" ca="1" si="1"/>
        <v/>
      </c>
      <c r="X52" s="9"/>
      <c r="Y52" s="9"/>
      <c r="Z52" s="9"/>
      <c r="AA52" s="9"/>
      <c r="AB52" s="9"/>
      <c r="AC52" s="9"/>
      <c r="AD52" s="9"/>
    </row>
    <row r="53" spans="1:30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 t="str">
        <f t="shared" ca="1" si="0"/>
        <v/>
      </c>
      <c r="W53" s="9" t="str">
        <f t="shared" ca="1" si="1"/>
        <v/>
      </c>
      <c r="X53" s="9"/>
      <c r="Y53" s="9"/>
      <c r="Z53" s="9"/>
      <c r="AA53" s="9"/>
      <c r="AB53" s="9"/>
      <c r="AC53" s="9"/>
      <c r="AD53" s="9"/>
    </row>
    <row r="54" spans="1:30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 t="str">
        <f t="shared" ca="1" si="0"/>
        <v/>
      </c>
      <c r="W54" s="9" t="str">
        <f t="shared" ca="1" si="1"/>
        <v/>
      </c>
      <c r="X54" s="9"/>
      <c r="Y54" s="9"/>
      <c r="Z54" s="9"/>
      <c r="AA54" s="9"/>
      <c r="AB54" s="9"/>
      <c r="AC54" s="9"/>
      <c r="AD54" s="9"/>
    </row>
    <row r="55" spans="1:30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 t="str">
        <f t="shared" ca="1" si="0"/>
        <v/>
      </c>
      <c r="W55" s="9" t="str">
        <f t="shared" ca="1" si="1"/>
        <v/>
      </c>
      <c r="X55" s="9"/>
      <c r="Y55" s="9"/>
      <c r="Z55" s="9"/>
      <c r="AA55" s="9"/>
      <c r="AB55" s="9"/>
      <c r="AC55" s="9"/>
      <c r="AD55" s="9"/>
    </row>
    <row r="56" spans="1:30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 t="str">
        <f t="shared" ca="1" si="0"/>
        <v/>
      </c>
      <c r="W56" s="9" t="str">
        <f t="shared" ca="1" si="1"/>
        <v/>
      </c>
      <c r="X56" s="9"/>
      <c r="Y56" s="9"/>
      <c r="Z56" s="9"/>
      <c r="AA56" s="9"/>
      <c r="AB56" s="9"/>
      <c r="AC56" s="9"/>
      <c r="AD56" s="9"/>
    </row>
    <row r="57" spans="1:30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 t="str">
        <f t="shared" ca="1" si="0"/>
        <v/>
      </c>
      <c r="W57" s="9" t="str">
        <f t="shared" ca="1" si="1"/>
        <v/>
      </c>
      <c r="X57" s="9"/>
      <c r="Y57" s="9"/>
      <c r="Z57" s="9"/>
      <c r="AA57" s="9"/>
      <c r="AB57" s="9"/>
      <c r="AC57" s="9"/>
      <c r="AD57" s="9"/>
    </row>
    <row r="58" spans="1:30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 t="str">
        <f t="shared" ca="1" si="0"/>
        <v/>
      </c>
      <c r="W58" s="9" t="str">
        <f t="shared" ca="1" si="1"/>
        <v/>
      </c>
      <c r="X58" s="9"/>
      <c r="Y58" s="9"/>
      <c r="Z58" s="9"/>
      <c r="AA58" s="9"/>
      <c r="AB58" s="9"/>
      <c r="AC58" s="9"/>
      <c r="AD58" s="9"/>
    </row>
    <row r="59" spans="1:30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 t="str">
        <f t="shared" ca="1" si="0"/>
        <v/>
      </c>
      <c r="W59" s="9" t="str">
        <f t="shared" ca="1" si="1"/>
        <v/>
      </c>
      <c r="X59" s="9"/>
      <c r="Y59" s="9"/>
      <c r="Z59" s="9"/>
      <c r="AA59" s="9"/>
      <c r="AB59" s="9"/>
      <c r="AC59" s="9"/>
      <c r="AD59" s="9"/>
    </row>
    <row r="60" spans="1:30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 t="str">
        <f t="shared" ca="1" si="0"/>
        <v/>
      </c>
      <c r="W60" s="9" t="str">
        <f t="shared" ca="1" si="1"/>
        <v/>
      </c>
      <c r="X60" s="9"/>
      <c r="Y60" s="9"/>
      <c r="Z60" s="9"/>
      <c r="AA60" s="9"/>
      <c r="AB60" s="9"/>
      <c r="AC60" s="9"/>
      <c r="AD60" s="9"/>
    </row>
    <row r="61" spans="1:30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 t="str">
        <f t="shared" ca="1" si="0"/>
        <v/>
      </c>
      <c r="W61" s="9" t="str">
        <f t="shared" ca="1" si="1"/>
        <v/>
      </c>
      <c r="X61" s="9"/>
      <c r="Y61" s="9"/>
      <c r="Z61" s="9"/>
      <c r="AA61" s="9"/>
      <c r="AB61" s="9"/>
      <c r="AC61" s="9"/>
      <c r="AD61" s="9"/>
    </row>
    <row r="62" spans="1:30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 t="str">
        <f t="shared" ca="1" si="0"/>
        <v/>
      </c>
      <c r="W62" s="9" t="str">
        <f t="shared" ca="1" si="1"/>
        <v/>
      </c>
      <c r="X62" s="9"/>
      <c r="Y62" s="9"/>
      <c r="Z62" s="9"/>
      <c r="AA62" s="9"/>
      <c r="AB62" s="9"/>
      <c r="AC62" s="9"/>
      <c r="AD62" s="9"/>
    </row>
    <row r="63" spans="1:30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 t="str">
        <f t="shared" ca="1" si="0"/>
        <v/>
      </c>
      <c r="W63" s="9" t="str">
        <f t="shared" ca="1" si="1"/>
        <v/>
      </c>
      <c r="X63" s="9"/>
      <c r="Y63" s="9"/>
      <c r="Z63" s="9"/>
      <c r="AA63" s="9"/>
      <c r="AB63" s="9"/>
      <c r="AC63" s="9"/>
      <c r="AD63" s="9"/>
    </row>
    <row r="64" spans="1:30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 t="str">
        <f t="shared" ca="1" si="0"/>
        <v/>
      </c>
      <c r="W64" s="9" t="str">
        <f t="shared" ca="1" si="1"/>
        <v/>
      </c>
      <c r="X64" s="9"/>
      <c r="Y64" s="9"/>
      <c r="Z64" s="9"/>
      <c r="AA64" s="9"/>
      <c r="AB64" s="9"/>
      <c r="AC64" s="9"/>
      <c r="AD64" s="9"/>
    </row>
    <row r="65" spans="1:30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 t="str">
        <f t="shared" ca="1" si="0"/>
        <v/>
      </c>
      <c r="W65" s="9" t="str">
        <f t="shared" ca="1" si="1"/>
        <v/>
      </c>
      <c r="X65" s="9"/>
      <c r="Y65" s="9"/>
      <c r="Z65" s="9"/>
      <c r="AA65" s="9"/>
      <c r="AB65" s="9"/>
      <c r="AC65" s="9"/>
      <c r="AD65" s="9"/>
    </row>
    <row r="66" spans="1:30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 t="str">
        <f t="shared" ca="1" si="0"/>
        <v/>
      </c>
      <c r="W66" s="9" t="str">
        <f t="shared" ca="1" si="1"/>
        <v/>
      </c>
      <c r="X66" s="9"/>
      <c r="Y66" s="9"/>
      <c r="Z66" s="9"/>
      <c r="AA66" s="9"/>
      <c r="AB66" s="9"/>
      <c r="AC66" s="9"/>
      <c r="AD66" s="9"/>
    </row>
    <row r="67" spans="1:30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 t="str">
        <f t="shared" ref="V67:V130" ca="1" si="2">IF(T67="","",T67-TODAY())</f>
        <v/>
      </c>
      <c r="W67" s="9" t="str">
        <f t="shared" ref="W67:W130" ca="1" si="3">IF(T67="","",IF(T67&lt;TODAY(),"PAST EOS — UNSUPPORTED",IF(T67-TODAY()&lt;=365,"EOS within 12 months","Supported")))</f>
        <v/>
      </c>
      <c r="X67" s="9"/>
      <c r="Y67" s="9"/>
      <c r="Z67" s="9"/>
      <c r="AA67" s="9"/>
      <c r="AB67" s="9"/>
      <c r="AC67" s="9"/>
      <c r="AD67" s="9"/>
    </row>
    <row r="68" spans="1:30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 t="str">
        <f t="shared" ca="1" si="2"/>
        <v/>
      </c>
      <c r="W68" s="9" t="str">
        <f t="shared" ca="1" si="3"/>
        <v/>
      </c>
      <c r="X68" s="9"/>
      <c r="Y68" s="9"/>
      <c r="Z68" s="9"/>
      <c r="AA68" s="9"/>
      <c r="AB68" s="9"/>
      <c r="AC68" s="9"/>
      <c r="AD68" s="9"/>
    </row>
    <row r="69" spans="1:30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 t="str">
        <f t="shared" ca="1" si="2"/>
        <v/>
      </c>
      <c r="W69" s="9" t="str">
        <f t="shared" ca="1" si="3"/>
        <v/>
      </c>
      <c r="X69" s="9"/>
      <c r="Y69" s="9"/>
      <c r="Z69" s="9"/>
      <c r="AA69" s="9"/>
      <c r="AB69" s="9"/>
      <c r="AC69" s="9"/>
      <c r="AD69" s="9"/>
    </row>
    <row r="70" spans="1:30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 t="str">
        <f t="shared" ca="1" si="2"/>
        <v/>
      </c>
      <c r="W70" s="9" t="str">
        <f t="shared" ca="1" si="3"/>
        <v/>
      </c>
      <c r="X70" s="9"/>
      <c r="Y70" s="9"/>
      <c r="Z70" s="9"/>
      <c r="AA70" s="9"/>
      <c r="AB70" s="9"/>
      <c r="AC70" s="9"/>
      <c r="AD70" s="9"/>
    </row>
    <row r="71" spans="1:30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 t="str">
        <f t="shared" ca="1" si="2"/>
        <v/>
      </c>
      <c r="W71" s="9" t="str">
        <f t="shared" ca="1" si="3"/>
        <v/>
      </c>
      <c r="X71" s="9"/>
      <c r="Y71" s="9"/>
      <c r="Z71" s="9"/>
      <c r="AA71" s="9"/>
      <c r="AB71" s="9"/>
      <c r="AC71" s="9"/>
      <c r="AD71" s="9"/>
    </row>
    <row r="72" spans="1:30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 t="str">
        <f t="shared" ca="1" si="2"/>
        <v/>
      </c>
      <c r="W72" s="9" t="str">
        <f t="shared" ca="1" si="3"/>
        <v/>
      </c>
      <c r="X72" s="9"/>
      <c r="Y72" s="9"/>
      <c r="Z72" s="9"/>
      <c r="AA72" s="9"/>
      <c r="AB72" s="9"/>
      <c r="AC72" s="9"/>
      <c r="AD72" s="9"/>
    </row>
    <row r="73" spans="1:30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 t="str">
        <f t="shared" ca="1" si="2"/>
        <v/>
      </c>
      <c r="W73" s="9" t="str">
        <f t="shared" ca="1" si="3"/>
        <v/>
      </c>
      <c r="X73" s="9"/>
      <c r="Y73" s="9"/>
      <c r="Z73" s="9"/>
      <c r="AA73" s="9"/>
      <c r="AB73" s="9"/>
      <c r="AC73" s="9"/>
      <c r="AD73" s="9"/>
    </row>
    <row r="74" spans="1:30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 t="str">
        <f t="shared" ca="1" si="2"/>
        <v/>
      </c>
      <c r="W74" s="9" t="str">
        <f t="shared" ca="1" si="3"/>
        <v/>
      </c>
      <c r="X74" s="9"/>
      <c r="Y74" s="9"/>
      <c r="Z74" s="9"/>
      <c r="AA74" s="9"/>
      <c r="AB74" s="9"/>
      <c r="AC74" s="9"/>
      <c r="AD74" s="9"/>
    </row>
    <row r="75" spans="1:30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 t="str">
        <f t="shared" ca="1" si="2"/>
        <v/>
      </c>
      <c r="W75" s="9" t="str">
        <f t="shared" ca="1" si="3"/>
        <v/>
      </c>
      <c r="X75" s="9"/>
      <c r="Y75" s="9"/>
      <c r="Z75" s="9"/>
      <c r="AA75" s="9"/>
      <c r="AB75" s="9"/>
      <c r="AC75" s="9"/>
      <c r="AD75" s="9"/>
    </row>
    <row r="76" spans="1:30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 t="str">
        <f t="shared" ca="1" si="2"/>
        <v/>
      </c>
      <c r="W76" s="9" t="str">
        <f t="shared" ca="1" si="3"/>
        <v/>
      </c>
      <c r="X76" s="9"/>
      <c r="Y76" s="9"/>
      <c r="Z76" s="9"/>
      <c r="AA76" s="9"/>
      <c r="AB76" s="9"/>
      <c r="AC76" s="9"/>
      <c r="AD76" s="9"/>
    </row>
    <row r="77" spans="1:30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 t="str">
        <f t="shared" ca="1" si="2"/>
        <v/>
      </c>
      <c r="W77" s="9" t="str">
        <f t="shared" ca="1" si="3"/>
        <v/>
      </c>
      <c r="X77" s="9"/>
      <c r="Y77" s="9"/>
      <c r="Z77" s="9"/>
      <c r="AA77" s="9"/>
      <c r="AB77" s="9"/>
      <c r="AC77" s="9"/>
      <c r="AD77" s="9"/>
    </row>
    <row r="78" spans="1:30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 t="str">
        <f t="shared" ca="1" si="2"/>
        <v/>
      </c>
      <c r="W78" s="9" t="str">
        <f t="shared" ca="1" si="3"/>
        <v/>
      </c>
      <c r="X78" s="9"/>
      <c r="Y78" s="9"/>
      <c r="Z78" s="9"/>
      <c r="AA78" s="9"/>
      <c r="AB78" s="9"/>
      <c r="AC78" s="9"/>
      <c r="AD78" s="9"/>
    </row>
    <row r="79" spans="1:30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 t="str">
        <f t="shared" ca="1" si="2"/>
        <v/>
      </c>
      <c r="W79" s="9" t="str">
        <f t="shared" ca="1" si="3"/>
        <v/>
      </c>
      <c r="X79" s="9"/>
      <c r="Y79" s="9"/>
      <c r="Z79" s="9"/>
      <c r="AA79" s="9"/>
      <c r="AB79" s="9"/>
      <c r="AC79" s="9"/>
      <c r="AD79" s="9"/>
    </row>
    <row r="80" spans="1:30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 t="str">
        <f t="shared" ca="1" si="2"/>
        <v/>
      </c>
      <c r="W80" s="9" t="str">
        <f t="shared" ca="1" si="3"/>
        <v/>
      </c>
      <c r="X80" s="9"/>
      <c r="Y80" s="9"/>
      <c r="Z80" s="9"/>
      <c r="AA80" s="9"/>
      <c r="AB80" s="9"/>
      <c r="AC80" s="9"/>
      <c r="AD80" s="9"/>
    </row>
    <row r="81" spans="1:30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 t="str">
        <f t="shared" ca="1" si="2"/>
        <v/>
      </c>
      <c r="W81" s="9" t="str">
        <f t="shared" ca="1" si="3"/>
        <v/>
      </c>
      <c r="X81" s="9"/>
      <c r="Y81" s="9"/>
      <c r="Z81" s="9"/>
      <c r="AA81" s="9"/>
      <c r="AB81" s="9"/>
      <c r="AC81" s="9"/>
      <c r="AD81" s="9"/>
    </row>
    <row r="82" spans="1:30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 t="str">
        <f t="shared" ca="1" si="2"/>
        <v/>
      </c>
      <c r="W82" s="9" t="str">
        <f t="shared" ca="1" si="3"/>
        <v/>
      </c>
      <c r="X82" s="9"/>
      <c r="Y82" s="9"/>
      <c r="Z82" s="9"/>
      <c r="AA82" s="9"/>
      <c r="AB82" s="9"/>
      <c r="AC82" s="9"/>
      <c r="AD82" s="9"/>
    </row>
    <row r="83" spans="1:30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 t="str">
        <f t="shared" ca="1" si="2"/>
        <v/>
      </c>
      <c r="W83" s="9" t="str">
        <f t="shared" ca="1" si="3"/>
        <v/>
      </c>
      <c r="X83" s="9"/>
      <c r="Y83" s="9"/>
      <c r="Z83" s="9"/>
      <c r="AA83" s="9"/>
      <c r="AB83" s="9"/>
      <c r="AC83" s="9"/>
      <c r="AD83" s="9"/>
    </row>
    <row r="84" spans="1:30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 t="str">
        <f t="shared" ca="1" si="2"/>
        <v/>
      </c>
      <c r="W84" s="9" t="str">
        <f t="shared" ca="1" si="3"/>
        <v/>
      </c>
      <c r="X84" s="9"/>
      <c r="Y84" s="9"/>
      <c r="Z84" s="9"/>
      <c r="AA84" s="9"/>
      <c r="AB84" s="9"/>
      <c r="AC84" s="9"/>
      <c r="AD84" s="9"/>
    </row>
    <row r="85" spans="1:30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 t="str">
        <f t="shared" ca="1" si="2"/>
        <v/>
      </c>
      <c r="W85" s="9" t="str">
        <f t="shared" ca="1" si="3"/>
        <v/>
      </c>
      <c r="X85" s="9"/>
      <c r="Y85" s="9"/>
      <c r="Z85" s="9"/>
      <c r="AA85" s="9"/>
      <c r="AB85" s="9"/>
      <c r="AC85" s="9"/>
      <c r="AD85" s="9"/>
    </row>
    <row r="86" spans="1:30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 t="str">
        <f t="shared" ca="1" si="2"/>
        <v/>
      </c>
      <c r="W86" s="9" t="str">
        <f t="shared" ca="1" si="3"/>
        <v/>
      </c>
      <c r="X86" s="9"/>
      <c r="Y86" s="9"/>
      <c r="Z86" s="9"/>
      <c r="AA86" s="9"/>
      <c r="AB86" s="9"/>
      <c r="AC86" s="9"/>
      <c r="AD86" s="9"/>
    </row>
    <row r="87" spans="1:30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 t="str">
        <f t="shared" ca="1" si="2"/>
        <v/>
      </c>
      <c r="W87" s="9" t="str">
        <f t="shared" ca="1" si="3"/>
        <v/>
      </c>
      <c r="X87" s="9"/>
      <c r="Y87" s="9"/>
      <c r="Z87" s="9"/>
      <c r="AA87" s="9"/>
      <c r="AB87" s="9"/>
      <c r="AC87" s="9"/>
      <c r="AD87" s="9"/>
    </row>
    <row r="88" spans="1:30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 t="str">
        <f t="shared" ca="1" si="2"/>
        <v/>
      </c>
      <c r="W88" s="9" t="str">
        <f t="shared" ca="1" si="3"/>
        <v/>
      </c>
      <c r="X88" s="9"/>
      <c r="Y88" s="9"/>
      <c r="Z88" s="9"/>
      <c r="AA88" s="9"/>
      <c r="AB88" s="9"/>
      <c r="AC88" s="9"/>
      <c r="AD88" s="9"/>
    </row>
    <row r="89" spans="1:30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 t="str">
        <f t="shared" ca="1" si="2"/>
        <v/>
      </c>
      <c r="W89" s="9" t="str">
        <f t="shared" ca="1" si="3"/>
        <v/>
      </c>
      <c r="X89" s="9"/>
      <c r="Y89" s="9"/>
      <c r="Z89" s="9"/>
      <c r="AA89" s="9"/>
      <c r="AB89" s="9"/>
      <c r="AC89" s="9"/>
      <c r="AD89" s="9"/>
    </row>
    <row r="90" spans="1:30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 t="str">
        <f t="shared" ca="1" si="2"/>
        <v/>
      </c>
      <c r="W90" s="9" t="str">
        <f t="shared" ca="1" si="3"/>
        <v/>
      </c>
      <c r="X90" s="9"/>
      <c r="Y90" s="9"/>
      <c r="Z90" s="9"/>
      <c r="AA90" s="9"/>
      <c r="AB90" s="9"/>
      <c r="AC90" s="9"/>
      <c r="AD90" s="9"/>
    </row>
    <row r="91" spans="1:30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 t="str">
        <f t="shared" ca="1" si="2"/>
        <v/>
      </c>
      <c r="W91" s="9" t="str">
        <f t="shared" ca="1" si="3"/>
        <v/>
      </c>
      <c r="X91" s="9"/>
      <c r="Y91" s="9"/>
      <c r="Z91" s="9"/>
      <c r="AA91" s="9"/>
      <c r="AB91" s="9"/>
      <c r="AC91" s="9"/>
      <c r="AD91" s="9"/>
    </row>
    <row r="92" spans="1:30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 t="str">
        <f t="shared" ca="1" si="2"/>
        <v/>
      </c>
      <c r="W92" s="9" t="str">
        <f t="shared" ca="1" si="3"/>
        <v/>
      </c>
      <c r="X92" s="9"/>
      <c r="Y92" s="9"/>
      <c r="Z92" s="9"/>
      <c r="AA92" s="9"/>
      <c r="AB92" s="9"/>
      <c r="AC92" s="9"/>
      <c r="AD92" s="9"/>
    </row>
    <row r="93" spans="1:30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 t="str">
        <f t="shared" ca="1" si="2"/>
        <v/>
      </c>
      <c r="W93" s="9" t="str">
        <f t="shared" ca="1" si="3"/>
        <v/>
      </c>
      <c r="X93" s="9"/>
      <c r="Y93" s="9"/>
      <c r="Z93" s="9"/>
      <c r="AA93" s="9"/>
      <c r="AB93" s="9"/>
      <c r="AC93" s="9"/>
      <c r="AD93" s="9"/>
    </row>
    <row r="94" spans="1:30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 t="str">
        <f t="shared" ca="1" si="2"/>
        <v/>
      </c>
      <c r="W94" s="9" t="str">
        <f t="shared" ca="1" si="3"/>
        <v/>
      </c>
      <c r="X94" s="9"/>
      <c r="Y94" s="9"/>
      <c r="Z94" s="9"/>
      <c r="AA94" s="9"/>
      <c r="AB94" s="9"/>
      <c r="AC94" s="9"/>
      <c r="AD94" s="9"/>
    </row>
    <row r="95" spans="1:30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 t="str">
        <f t="shared" ca="1" si="2"/>
        <v/>
      </c>
      <c r="W95" s="9" t="str">
        <f t="shared" ca="1" si="3"/>
        <v/>
      </c>
      <c r="X95" s="9"/>
      <c r="Y95" s="9"/>
      <c r="Z95" s="9"/>
      <c r="AA95" s="9"/>
      <c r="AB95" s="9"/>
      <c r="AC95" s="9"/>
      <c r="AD95" s="9"/>
    </row>
    <row r="96" spans="1:30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 t="str">
        <f t="shared" ca="1" si="2"/>
        <v/>
      </c>
      <c r="W96" s="9" t="str">
        <f t="shared" ca="1" si="3"/>
        <v/>
      </c>
      <c r="X96" s="9"/>
      <c r="Y96" s="9"/>
      <c r="Z96" s="9"/>
      <c r="AA96" s="9"/>
      <c r="AB96" s="9"/>
      <c r="AC96" s="9"/>
      <c r="AD96" s="9"/>
    </row>
    <row r="97" spans="1:30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 t="str">
        <f t="shared" ca="1" si="2"/>
        <v/>
      </c>
      <c r="W97" s="9" t="str">
        <f t="shared" ca="1" si="3"/>
        <v/>
      </c>
      <c r="X97" s="9"/>
      <c r="Y97" s="9"/>
      <c r="Z97" s="9"/>
      <c r="AA97" s="9"/>
      <c r="AB97" s="9"/>
      <c r="AC97" s="9"/>
      <c r="AD97" s="9"/>
    </row>
    <row r="98" spans="1:30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 t="str">
        <f t="shared" ca="1" si="2"/>
        <v/>
      </c>
      <c r="W98" s="9" t="str">
        <f t="shared" ca="1" si="3"/>
        <v/>
      </c>
      <c r="X98" s="9"/>
      <c r="Y98" s="9"/>
      <c r="Z98" s="9"/>
      <c r="AA98" s="9"/>
      <c r="AB98" s="9"/>
      <c r="AC98" s="9"/>
      <c r="AD98" s="9"/>
    </row>
    <row r="99" spans="1:30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 t="str">
        <f t="shared" ca="1" si="2"/>
        <v/>
      </c>
      <c r="W99" s="9" t="str">
        <f t="shared" ca="1" si="3"/>
        <v/>
      </c>
      <c r="X99" s="9"/>
      <c r="Y99" s="9"/>
      <c r="Z99" s="9"/>
      <c r="AA99" s="9"/>
      <c r="AB99" s="9"/>
      <c r="AC99" s="9"/>
      <c r="AD99" s="9"/>
    </row>
    <row r="100" spans="1:30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 t="str">
        <f t="shared" ca="1" si="2"/>
        <v/>
      </c>
      <c r="W100" s="9" t="str">
        <f t="shared" ca="1" si="3"/>
        <v/>
      </c>
      <c r="X100" s="9"/>
      <c r="Y100" s="9"/>
      <c r="Z100" s="9"/>
      <c r="AA100" s="9"/>
      <c r="AB100" s="9"/>
      <c r="AC100" s="9"/>
      <c r="AD100" s="9"/>
    </row>
    <row r="101" spans="1:30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 t="str">
        <f t="shared" ca="1" si="2"/>
        <v/>
      </c>
      <c r="W101" s="9" t="str">
        <f t="shared" ca="1" si="3"/>
        <v/>
      </c>
      <c r="X101" s="9"/>
      <c r="Y101" s="9"/>
      <c r="Z101" s="9"/>
      <c r="AA101" s="9"/>
      <c r="AB101" s="9"/>
      <c r="AC101" s="9"/>
      <c r="AD101" s="9"/>
    </row>
    <row r="102" spans="1:30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 t="str">
        <f t="shared" ca="1" si="2"/>
        <v/>
      </c>
      <c r="W102" s="9" t="str">
        <f t="shared" ca="1" si="3"/>
        <v/>
      </c>
      <c r="X102" s="9"/>
      <c r="Y102" s="9"/>
      <c r="Z102" s="9"/>
      <c r="AA102" s="9"/>
      <c r="AB102" s="9"/>
      <c r="AC102" s="9"/>
      <c r="AD102" s="9"/>
    </row>
    <row r="103" spans="1:30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 t="str">
        <f t="shared" ca="1" si="2"/>
        <v/>
      </c>
      <c r="W103" s="9" t="str">
        <f t="shared" ca="1" si="3"/>
        <v/>
      </c>
      <c r="X103" s="9"/>
      <c r="Y103" s="9"/>
      <c r="Z103" s="9"/>
      <c r="AA103" s="9"/>
      <c r="AB103" s="9"/>
      <c r="AC103" s="9"/>
      <c r="AD103" s="9"/>
    </row>
    <row r="104" spans="1:30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 t="str">
        <f t="shared" ca="1" si="2"/>
        <v/>
      </c>
      <c r="W104" s="9" t="str">
        <f t="shared" ca="1" si="3"/>
        <v/>
      </c>
      <c r="X104" s="9"/>
      <c r="Y104" s="9"/>
      <c r="Z104" s="9"/>
      <c r="AA104" s="9"/>
      <c r="AB104" s="9"/>
      <c r="AC104" s="9"/>
      <c r="AD104" s="9"/>
    </row>
    <row r="105" spans="1:30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 t="str">
        <f t="shared" ca="1" si="2"/>
        <v/>
      </c>
      <c r="W105" s="9" t="str">
        <f t="shared" ca="1" si="3"/>
        <v/>
      </c>
      <c r="X105" s="9"/>
      <c r="Y105" s="9"/>
      <c r="Z105" s="9"/>
      <c r="AA105" s="9"/>
      <c r="AB105" s="9"/>
      <c r="AC105" s="9"/>
      <c r="AD105" s="9"/>
    </row>
    <row r="106" spans="1:30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 t="str">
        <f t="shared" ca="1" si="2"/>
        <v/>
      </c>
      <c r="W106" s="9" t="str">
        <f t="shared" ca="1" si="3"/>
        <v/>
      </c>
      <c r="X106" s="9"/>
      <c r="Y106" s="9"/>
      <c r="Z106" s="9"/>
      <c r="AA106" s="9"/>
      <c r="AB106" s="9"/>
      <c r="AC106" s="9"/>
      <c r="AD106" s="9"/>
    </row>
    <row r="107" spans="1:30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 t="str">
        <f t="shared" ca="1" si="2"/>
        <v/>
      </c>
      <c r="W107" s="9" t="str">
        <f t="shared" ca="1" si="3"/>
        <v/>
      </c>
      <c r="X107" s="9"/>
      <c r="Y107" s="9"/>
      <c r="Z107" s="9"/>
      <c r="AA107" s="9"/>
      <c r="AB107" s="9"/>
      <c r="AC107" s="9"/>
      <c r="AD107" s="9"/>
    </row>
    <row r="108" spans="1:30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 t="str">
        <f t="shared" ca="1" si="2"/>
        <v/>
      </c>
      <c r="W108" s="9" t="str">
        <f t="shared" ca="1" si="3"/>
        <v/>
      </c>
      <c r="X108" s="9"/>
      <c r="Y108" s="9"/>
      <c r="Z108" s="9"/>
      <c r="AA108" s="9"/>
      <c r="AB108" s="9"/>
      <c r="AC108" s="9"/>
      <c r="AD108" s="9"/>
    </row>
    <row r="109" spans="1:30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 t="str">
        <f t="shared" ca="1" si="2"/>
        <v/>
      </c>
      <c r="W109" s="9" t="str">
        <f t="shared" ca="1" si="3"/>
        <v/>
      </c>
      <c r="X109" s="9"/>
      <c r="Y109" s="9"/>
      <c r="Z109" s="9"/>
      <c r="AA109" s="9"/>
      <c r="AB109" s="9"/>
      <c r="AC109" s="9"/>
      <c r="AD109" s="9"/>
    </row>
    <row r="110" spans="1:30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 t="str">
        <f t="shared" ca="1" si="2"/>
        <v/>
      </c>
      <c r="W110" s="9" t="str">
        <f t="shared" ca="1" si="3"/>
        <v/>
      </c>
      <c r="X110" s="9"/>
      <c r="Y110" s="9"/>
      <c r="Z110" s="9"/>
      <c r="AA110" s="9"/>
      <c r="AB110" s="9"/>
      <c r="AC110" s="9"/>
      <c r="AD110" s="9"/>
    </row>
    <row r="111" spans="1:30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 t="str">
        <f t="shared" ca="1" si="2"/>
        <v/>
      </c>
      <c r="W111" s="9" t="str">
        <f t="shared" ca="1" si="3"/>
        <v/>
      </c>
      <c r="X111" s="9"/>
      <c r="Y111" s="9"/>
      <c r="Z111" s="9"/>
      <c r="AA111" s="9"/>
      <c r="AB111" s="9"/>
      <c r="AC111" s="9"/>
      <c r="AD111" s="9"/>
    </row>
    <row r="112" spans="1:30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 t="str">
        <f t="shared" ca="1" si="2"/>
        <v/>
      </c>
      <c r="W112" s="9" t="str">
        <f t="shared" ca="1" si="3"/>
        <v/>
      </c>
      <c r="X112" s="9"/>
      <c r="Y112" s="9"/>
      <c r="Z112" s="9"/>
      <c r="AA112" s="9"/>
      <c r="AB112" s="9"/>
      <c r="AC112" s="9"/>
      <c r="AD112" s="9"/>
    </row>
    <row r="113" spans="1:30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 t="str">
        <f t="shared" ca="1" si="2"/>
        <v/>
      </c>
      <c r="W113" s="9" t="str">
        <f t="shared" ca="1" si="3"/>
        <v/>
      </c>
      <c r="X113" s="9"/>
      <c r="Y113" s="9"/>
      <c r="Z113" s="9"/>
      <c r="AA113" s="9"/>
      <c r="AB113" s="9"/>
      <c r="AC113" s="9"/>
      <c r="AD113" s="9"/>
    </row>
    <row r="114" spans="1:30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 t="str">
        <f t="shared" ca="1" si="2"/>
        <v/>
      </c>
      <c r="W114" s="9" t="str">
        <f t="shared" ca="1" si="3"/>
        <v/>
      </c>
      <c r="X114" s="9"/>
      <c r="Y114" s="9"/>
      <c r="Z114" s="9"/>
      <c r="AA114" s="9"/>
      <c r="AB114" s="9"/>
      <c r="AC114" s="9"/>
      <c r="AD114" s="9"/>
    </row>
    <row r="115" spans="1:30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 t="str">
        <f t="shared" ca="1" si="2"/>
        <v/>
      </c>
      <c r="W115" s="9" t="str">
        <f t="shared" ca="1" si="3"/>
        <v/>
      </c>
      <c r="X115" s="9"/>
      <c r="Y115" s="9"/>
      <c r="Z115" s="9"/>
      <c r="AA115" s="9"/>
      <c r="AB115" s="9"/>
      <c r="AC115" s="9"/>
      <c r="AD115" s="9"/>
    </row>
    <row r="116" spans="1:30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 t="str">
        <f t="shared" ca="1" si="2"/>
        <v/>
      </c>
      <c r="W116" s="9" t="str">
        <f t="shared" ca="1" si="3"/>
        <v/>
      </c>
      <c r="X116" s="9"/>
      <c r="Y116" s="9"/>
      <c r="Z116" s="9"/>
      <c r="AA116" s="9"/>
      <c r="AB116" s="9"/>
      <c r="AC116" s="9"/>
      <c r="AD116" s="9"/>
    </row>
    <row r="117" spans="1:30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 t="str">
        <f t="shared" ca="1" si="2"/>
        <v/>
      </c>
      <c r="W117" s="9" t="str">
        <f t="shared" ca="1" si="3"/>
        <v/>
      </c>
      <c r="X117" s="9"/>
      <c r="Y117" s="9"/>
      <c r="Z117" s="9"/>
      <c r="AA117" s="9"/>
      <c r="AB117" s="9"/>
      <c r="AC117" s="9"/>
      <c r="AD117" s="9"/>
    </row>
    <row r="118" spans="1:30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 t="str">
        <f t="shared" ca="1" si="2"/>
        <v/>
      </c>
      <c r="W118" s="9" t="str">
        <f t="shared" ca="1" si="3"/>
        <v/>
      </c>
      <c r="X118" s="9"/>
      <c r="Y118" s="9"/>
      <c r="Z118" s="9"/>
      <c r="AA118" s="9"/>
      <c r="AB118" s="9"/>
      <c r="AC118" s="9"/>
      <c r="AD118" s="9"/>
    </row>
    <row r="119" spans="1:30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 t="str">
        <f t="shared" ca="1" si="2"/>
        <v/>
      </c>
      <c r="W119" s="9" t="str">
        <f t="shared" ca="1" si="3"/>
        <v/>
      </c>
      <c r="X119" s="9"/>
      <c r="Y119" s="9"/>
      <c r="Z119" s="9"/>
      <c r="AA119" s="9"/>
      <c r="AB119" s="9"/>
      <c r="AC119" s="9"/>
      <c r="AD119" s="9"/>
    </row>
    <row r="120" spans="1:30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 t="str">
        <f t="shared" ca="1" si="2"/>
        <v/>
      </c>
      <c r="W120" s="9" t="str">
        <f t="shared" ca="1" si="3"/>
        <v/>
      </c>
      <c r="X120" s="9"/>
      <c r="Y120" s="9"/>
      <c r="Z120" s="9"/>
      <c r="AA120" s="9"/>
      <c r="AB120" s="9"/>
      <c r="AC120" s="9"/>
      <c r="AD120" s="9"/>
    </row>
    <row r="121" spans="1:30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 t="str">
        <f t="shared" ca="1" si="2"/>
        <v/>
      </c>
      <c r="W121" s="9" t="str">
        <f t="shared" ca="1" si="3"/>
        <v/>
      </c>
      <c r="X121" s="9"/>
      <c r="Y121" s="9"/>
      <c r="Z121" s="9"/>
      <c r="AA121" s="9"/>
      <c r="AB121" s="9"/>
      <c r="AC121" s="9"/>
      <c r="AD121" s="9"/>
    </row>
    <row r="122" spans="1:30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 t="str">
        <f t="shared" ca="1" si="2"/>
        <v/>
      </c>
      <c r="W122" s="9" t="str">
        <f t="shared" ca="1" si="3"/>
        <v/>
      </c>
      <c r="X122" s="9"/>
      <c r="Y122" s="9"/>
      <c r="Z122" s="9"/>
      <c r="AA122" s="9"/>
      <c r="AB122" s="9"/>
      <c r="AC122" s="9"/>
      <c r="AD122" s="9"/>
    </row>
    <row r="123" spans="1:30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 t="str">
        <f t="shared" ca="1" si="2"/>
        <v/>
      </c>
      <c r="W123" s="9" t="str">
        <f t="shared" ca="1" si="3"/>
        <v/>
      </c>
      <c r="X123" s="9"/>
      <c r="Y123" s="9"/>
      <c r="Z123" s="9"/>
      <c r="AA123" s="9"/>
      <c r="AB123" s="9"/>
      <c r="AC123" s="9"/>
      <c r="AD123" s="9"/>
    </row>
    <row r="124" spans="1:30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 t="str">
        <f t="shared" ca="1" si="2"/>
        <v/>
      </c>
      <c r="W124" s="9" t="str">
        <f t="shared" ca="1" si="3"/>
        <v/>
      </c>
      <c r="X124" s="9"/>
      <c r="Y124" s="9"/>
      <c r="Z124" s="9"/>
      <c r="AA124" s="9"/>
      <c r="AB124" s="9"/>
      <c r="AC124" s="9"/>
      <c r="AD124" s="9"/>
    </row>
    <row r="125" spans="1:30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 t="str">
        <f t="shared" ca="1" si="2"/>
        <v/>
      </c>
      <c r="W125" s="9" t="str">
        <f t="shared" ca="1" si="3"/>
        <v/>
      </c>
      <c r="X125" s="9"/>
      <c r="Y125" s="9"/>
      <c r="Z125" s="9"/>
      <c r="AA125" s="9"/>
      <c r="AB125" s="9"/>
      <c r="AC125" s="9"/>
      <c r="AD125" s="9"/>
    </row>
    <row r="126" spans="1:30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 t="str">
        <f t="shared" ca="1" si="2"/>
        <v/>
      </c>
      <c r="W126" s="9" t="str">
        <f t="shared" ca="1" si="3"/>
        <v/>
      </c>
      <c r="X126" s="9"/>
      <c r="Y126" s="9"/>
      <c r="Z126" s="9"/>
      <c r="AA126" s="9"/>
      <c r="AB126" s="9"/>
      <c r="AC126" s="9"/>
      <c r="AD126" s="9"/>
    </row>
    <row r="127" spans="1:30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 t="str">
        <f t="shared" ca="1" si="2"/>
        <v/>
      </c>
      <c r="W127" s="9" t="str">
        <f t="shared" ca="1" si="3"/>
        <v/>
      </c>
      <c r="X127" s="9"/>
      <c r="Y127" s="9"/>
      <c r="Z127" s="9"/>
      <c r="AA127" s="9"/>
      <c r="AB127" s="9"/>
      <c r="AC127" s="9"/>
      <c r="AD127" s="9"/>
    </row>
    <row r="128" spans="1:30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 t="str">
        <f t="shared" ca="1" si="2"/>
        <v/>
      </c>
      <c r="W128" s="9" t="str">
        <f t="shared" ca="1" si="3"/>
        <v/>
      </c>
      <c r="X128" s="9"/>
      <c r="Y128" s="9"/>
      <c r="Z128" s="9"/>
      <c r="AA128" s="9"/>
      <c r="AB128" s="9"/>
      <c r="AC128" s="9"/>
      <c r="AD128" s="9"/>
    </row>
    <row r="129" spans="1:30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 t="str">
        <f t="shared" ca="1" si="2"/>
        <v/>
      </c>
      <c r="W129" s="9" t="str">
        <f t="shared" ca="1" si="3"/>
        <v/>
      </c>
      <c r="X129" s="9"/>
      <c r="Y129" s="9"/>
      <c r="Z129" s="9"/>
      <c r="AA129" s="9"/>
      <c r="AB129" s="9"/>
      <c r="AC129" s="9"/>
      <c r="AD129" s="9"/>
    </row>
    <row r="130" spans="1:30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 t="str">
        <f t="shared" ca="1" si="2"/>
        <v/>
      </c>
      <c r="W130" s="9" t="str">
        <f t="shared" ca="1" si="3"/>
        <v/>
      </c>
      <c r="X130" s="9"/>
      <c r="Y130" s="9"/>
      <c r="Z130" s="9"/>
      <c r="AA130" s="9"/>
      <c r="AB130" s="9"/>
      <c r="AC130" s="9"/>
      <c r="AD130" s="9"/>
    </row>
    <row r="131" spans="1:30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 t="str">
        <f t="shared" ref="V131:V194" ca="1" si="4">IF(T131="","",T131-TODAY())</f>
        <v/>
      </c>
      <c r="W131" s="9" t="str">
        <f t="shared" ref="W131:W194" ca="1" si="5">IF(T131="","",IF(T131&lt;TODAY(),"PAST EOS — UNSUPPORTED",IF(T131-TODAY()&lt;=365,"EOS within 12 months","Supported")))</f>
        <v/>
      </c>
      <c r="X131" s="9"/>
      <c r="Y131" s="9"/>
      <c r="Z131" s="9"/>
      <c r="AA131" s="9"/>
      <c r="AB131" s="9"/>
      <c r="AC131" s="9"/>
      <c r="AD131" s="9"/>
    </row>
    <row r="132" spans="1:30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 t="str">
        <f t="shared" ca="1" si="4"/>
        <v/>
      </c>
      <c r="W132" s="9" t="str">
        <f t="shared" ca="1" si="5"/>
        <v/>
      </c>
      <c r="X132" s="9"/>
      <c r="Y132" s="9"/>
      <c r="Z132" s="9"/>
      <c r="AA132" s="9"/>
      <c r="AB132" s="9"/>
      <c r="AC132" s="9"/>
      <c r="AD132" s="9"/>
    </row>
    <row r="133" spans="1:30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 t="str">
        <f t="shared" ca="1" si="4"/>
        <v/>
      </c>
      <c r="W133" s="9" t="str">
        <f t="shared" ca="1" si="5"/>
        <v/>
      </c>
      <c r="X133" s="9"/>
      <c r="Y133" s="9"/>
      <c r="Z133" s="9"/>
      <c r="AA133" s="9"/>
      <c r="AB133" s="9"/>
      <c r="AC133" s="9"/>
      <c r="AD133" s="9"/>
    </row>
    <row r="134" spans="1:30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 t="str">
        <f t="shared" ca="1" si="4"/>
        <v/>
      </c>
      <c r="W134" s="9" t="str">
        <f t="shared" ca="1" si="5"/>
        <v/>
      </c>
      <c r="X134" s="9"/>
      <c r="Y134" s="9"/>
      <c r="Z134" s="9"/>
      <c r="AA134" s="9"/>
      <c r="AB134" s="9"/>
      <c r="AC134" s="9"/>
      <c r="AD134" s="9"/>
    </row>
    <row r="135" spans="1:30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 t="str">
        <f t="shared" ca="1" si="4"/>
        <v/>
      </c>
      <c r="W135" s="9" t="str">
        <f t="shared" ca="1" si="5"/>
        <v/>
      </c>
      <c r="X135" s="9"/>
      <c r="Y135" s="9"/>
      <c r="Z135" s="9"/>
      <c r="AA135" s="9"/>
      <c r="AB135" s="9"/>
      <c r="AC135" s="9"/>
      <c r="AD135" s="9"/>
    </row>
    <row r="136" spans="1:30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 t="str">
        <f t="shared" ca="1" si="4"/>
        <v/>
      </c>
      <c r="W136" s="9" t="str">
        <f t="shared" ca="1" si="5"/>
        <v/>
      </c>
      <c r="X136" s="9"/>
      <c r="Y136" s="9"/>
      <c r="Z136" s="9"/>
      <c r="AA136" s="9"/>
      <c r="AB136" s="9"/>
      <c r="AC136" s="9"/>
      <c r="AD136" s="9"/>
    </row>
    <row r="137" spans="1:30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 t="str">
        <f t="shared" ca="1" si="4"/>
        <v/>
      </c>
      <c r="W137" s="9" t="str">
        <f t="shared" ca="1" si="5"/>
        <v/>
      </c>
      <c r="X137" s="9"/>
      <c r="Y137" s="9"/>
      <c r="Z137" s="9"/>
      <c r="AA137" s="9"/>
      <c r="AB137" s="9"/>
      <c r="AC137" s="9"/>
      <c r="AD137" s="9"/>
    </row>
    <row r="138" spans="1:30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 t="str">
        <f t="shared" ca="1" si="4"/>
        <v/>
      </c>
      <c r="W138" s="9" t="str">
        <f t="shared" ca="1" si="5"/>
        <v/>
      </c>
      <c r="X138" s="9"/>
      <c r="Y138" s="9"/>
      <c r="Z138" s="9"/>
      <c r="AA138" s="9"/>
      <c r="AB138" s="9"/>
      <c r="AC138" s="9"/>
      <c r="AD138" s="9"/>
    </row>
    <row r="139" spans="1:30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 t="str">
        <f t="shared" ca="1" si="4"/>
        <v/>
      </c>
      <c r="W139" s="9" t="str">
        <f t="shared" ca="1" si="5"/>
        <v/>
      </c>
      <c r="X139" s="9"/>
      <c r="Y139" s="9"/>
      <c r="Z139" s="9"/>
      <c r="AA139" s="9"/>
      <c r="AB139" s="9"/>
      <c r="AC139" s="9"/>
      <c r="AD139" s="9"/>
    </row>
    <row r="140" spans="1:30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 t="str">
        <f t="shared" ca="1" si="4"/>
        <v/>
      </c>
      <c r="W140" s="9" t="str">
        <f t="shared" ca="1" si="5"/>
        <v/>
      </c>
      <c r="X140" s="9"/>
      <c r="Y140" s="9"/>
      <c r="Z140" s="9"/>
      <c r="AA140" s="9"/>
      <c r="AB140" s="9"/>
      <c r="AC140" s="9"/>
      <c r="AD140" s="9"/>
    </row>
    <row r="141" spans="1:30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 t="str">
        <f t="shared" ca="1" si="4"/>
        <v/>
      </c>
      <c r="W141" s="9" t="str">
        <f t="shared" ca="1" si="5"/>
        <v/>
      </c>
      <c r="X141" s="9"/>
      <c r="Y141" s="9"/>
      <c r="Z141" s="9"/>
      <c r="AA141" s="9"/>
      <c r="AB141" s="9"/>
      <c r="AC141" s="9"/>
      <c r="AD141" s="9"/>
    </row>
    <row r="142" spans="1:30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 t="str">
        <f t="shared" ca="1" si="4"/>
        <v/>
      </c>
      <c r="W142" s="9" t="str">
        <f t="shared" ca="1" si="5"/>
        <v/>
      </c>
      <c r="X142" s="9"/>
      <c r="Y142" s="9"/>
      <c r="Z142" s="9"/>
      <c r="AA142" s="9"/>
      <c r="AB142" s="9"/>
      <c r="AC142" s="9"/>
      <c r="AD142" s="9"/>
    </row>
    <row r="143" spans="1:30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 t="str">
        <f t="shared" ca="1" si="4"/>
        <v/>
      </c>
      <c r="W143" s="9" t="str">
        <f t="shared" ca="1" si="5"/>
        <v/>
      </c>
      <c r="X143" s="9"/>
      <c r="Y143" s="9"/>
      <c r="Z143" s="9"/>
      <c r="AA143" s="9"/>
      <c r="AB143" s="9"/>
      <c r="AC143" s="9"/>
      <c r="AD143" s="9"/>
    </row>
    <row r="144" spans="1:30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 t="str">
        <f t="shared" ca="1" si="4"/>
        <v/>
      </c>
      <c r="W144" s="9" t="str">
        <f t="shared" ca="1" si="5"/>
        <v/>
      </c>
      <c r="X144" s="9"/>
      <c r="Y144" s="9"/>
      <c r="Z144" s="9"/>
      <c r="AA144" s="9"/>
      <c r="AB144" s="9"/>
      <c r="AC144" s="9"/>
      <c r="AD144" s="9"/>
    </row>
    <row r="145" spans="1:30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 t="str">
        <f t="shared" ca="1" si="4"/>
        <v/>
      </c>
      <c r="W145" s="9" t="str">
        <f t="shared" ca="1" si="5"/>
        <v/>
      </c>
      <c r="X145" s="9"/>
      <c r="Y145" s="9"/>
      <c r="Z145" s="9"/>
      <c r="AA145" s="9"/>
      <c r="AB145" s="9"/>
      <c r="AC145" s="9"/>
      <c r="AD145" s="9"/>
    </row>
    <row r="146" spans="1:30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 t="str">
        <f t="shared" ca="1" si="4"/>
        <v/>
      </c>
      <c r="W146" s="9" t="str">
        <f t="shared" ca="1" si="5"/>
        <v/>
      </c>
      <c r="X146" s="9"/>
      <c r="Y146" s="9"/>
      <c r="Z146" s="9"/>
      <c r="AA146" s="9"/>
      <c r="AB146" s="9"/>
      <c r="AC146" s="9"/>
      <c r="AD146" s="9"/>
    </row>
    <row r="147" spans="1:30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 t="str">
        <f t="shared" ca="1" si="4"/>
        <v/>
      </c>
      <c r="W147" s="9" t="str">
        <f t="shared" ca="1" si="5"/>
        <v/>
      </c>
      <c r="X147" s="9"/>
      <c r="Y147" s="9"/>
      <c r="Z147" s="9"/>
      <c r="AA147" s="9"/>
      <c r="AB147" s="9"/>
      <c r="AC147" s="9"/>
      <c r="AD147" s="9"/>
    </row>
    <row r="148" spans="1:30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 t="str">
        <f t="shared" ca="1" si="4"/>
        <v/>
      </c>
      <c r="W148" s="9" t="str">
        <f t="shared" ca="1" si="5"/>
        <v/>
      </c>
      <c r="X148" s="9"/>
      <c r="Y148" s="9"/>
      <c r="Z148" s="9"/>
      <c r="AA148" s="9"/>
      <c r="AB148" s="9"/>
      <c r="AC148" s="9"/>
      <c r="AD148" s="9"/>
    </row>
    <row r="149" spans="1:30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 t="str">
        <f t="shared" ca="1" si="4"/>
        <v/>
      </c>
      <c r="W149" s="9" t="str">
        <f t="shared" ca="1" si="5"/>
        <v/>
      </c>
      <c r="X149" s="9"/>
      <c r="Y149" s="9"/>
      <c r="Z149" s="9"/>
      <c r="AA149" s="9"/>
      <c r="AB149" s="9"/>
      <c r="AC149" s="9"/>
      <c r="AD149" s="9"/>
    </row>
    <row r="150" spans="1:30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 t="str">
        <f t="shared" ca="1" si="4"/>
        <v/>
      </c>
      <c r="W150" s="9" t="str">
        <f t="shared" ca="1" si="5"/>
        <v/>
      </c>
      <c r="X150" s="9"/>
      <c r="Y150" s="9"/>
      <c r="Z150" s="9"/>
      <c r="AA150" s="9"/>
      <c r="AB150" s="9"/>
      <c r="AC150" s="9"/>
      <c r="AD150" s="9"/>
    </row>
    <row r="151" spans="1:30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 t="str">
        <f t="shared" ca="1" si="4"/>
        <v/>
      </c>
      <c r="W151" s="9" t="str">
        <f t="shared" ca="1" si="5"/>
        <v/>
      </c>
      <c r="X151" s="9"/>
      <c r="Y151" s="9"/>
      <c r="Z151" s="9"/>
      <c r="AA151" s="9"/>
      <c r="AB151" s="9"/>
      <c r="AC151" s="9"/>
      <c r="AD151" s="9"/>
    </row>
    <row r="152" spans="1:30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 t="str">
        <f t="shared" ca="1" si="4"/>
        <v/>
      </c>
      <c r="W152" s="9" t="str">
        <f t="shared" ca="1" si="5"/>
        <v/>
      </c>
      <c r="X152" s="9"/>
      <c r="Y152" s="9"/>
      <c r="Z152" s="9"/>
      <c r="AA152" s="9"/>
      <c r="AB152" s="9"/>
      <c r="AC152" s="9"/>
      <c r="AD152" s="9"/>
    </row>
    <row r="153" spans="1:30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 t="str">
        <f t="shared" ca="1" si="4"/>
        <v/>
      </c>
      <c r="W153" s="9" t="str">
        <f t="shared" ca="1" si="5"/>
        <v/>
      </c>
      <c r="X153" s="9"/>
      <c r="Y153" s="9"/>
      <c r="Z153" s="9"/>
      <c r="AA153" s="9"/>
      <c r="AB153" s="9"/>
      <c r="AC153" s="9"/>
      <c r="AD153" s="9"/>
    </row>
    <row r="154" spans="1:30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 t="str">
        <f t="shared" ca="1" si="4"/>
        <v/>
      </c>
      <c r="W154" s="9" t="str">
        <f t="shared" ca="1" si="5"/>
        <v/>
      </c>
      <c r="X154" s="9"/>
      <c r="Y154" s="9"/>
      <c r="Z154" s="9"/>
      <c r="AA154" s="9"/>
      <c r="AB154" s="9"/>
      <c r="AC154" s="9"/>
      <c r="AD154" s="9"/>
    </row>
    <row r="155" spans="1:30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 t="str">
        <f t="shared" ca="1" si="4"/>
        <v/>
      </c>
      <c r="W155" s="9" t="str">
        <f t="shared" ca="1" si="5"/>
        <v/>
      </c>
      <c r="X155" s="9"/>
      <c r="Y155" s="9"/>
      <c r="Z155" s="9"/>
      <c r="AA155" s="9"/>
      <c r="AB155" s="9"/>
      <c r="AC155" s="9"/>
      <c r="AD155" s="9"/>
    </row>
    <row r="156" spans="1:30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 t="str">
        <f t="shared" ca="1" si="4"/>
        <v/>
      </c>
      <c r="W156" s="9" t="str">
        <f t="shared" ca="1" si="5"/>
        <v/>
      </c>
      <c r="X156" s="9"/>
      <c r="Y156" s="9"/>
      <c r="Z156" s="9"/>
      <c r="AA156" s="9"/>
      <c r="AB156" s="9"/>
      <c r="AC156" s="9"/>
      <c r="AD156" s="9"/>
    </row>
    <row r="157" spans="1:30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 t="str">
        <f t="shared" ca="1" si="4"/>
        <v/>
      </c>
      <c r="W157" s="9" t="str">
        <f t="shared" ca="1" si="5"/>
        <v/>
      </c>
      <c r="X157" s="9"/>
      <c r="Y157" s="9"/>
      <c r="Z157" s="9"/>
      <c r="AA157" s="9"/>
      <c r="AB157" s="9"/>
      <c r="AC157" s="9"/>
      <c r="AD157" s="9"/>
    </row>
    <row r="158" spans="1:30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 t="str">
        <f t="shared" ca="1" si="4"/>
        <v/>
      </c>
      <c r="W158" s="9" t="str">
        <f t="shared" ca="1" si="5"/>
        <v/>
      </c>
      <c r="X158" s="9"/>
      <c r="Y158" s="9"/>
      <c r="Z158" s="9"/>
      <c r="AA158" s="9"/>
      <c r="AB158" s="9"/>
      <c r="AC158" s="9"/>
      <c r="AD158" s="9"/>
    </row>
    <row r="159" spans="1:30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 t="str">
        <f t="shared" ca="1" si="4"/>
        <v/>
      </c>
      <c r="W159" s="9" t="str">
        <f t="shared" ca="1" si="5"/>
        <v/>
      </c>
      <c r="X159" s="9"/>
      <c r="Y159" s="9"/>
      <c r="Z159" s="9"/>
      <c r="AA159" s="9"/>
      <c r="AB159" s="9"/>
      <c r="AC159" s="9"/>
      <c r="AD159" s="9"/>
    </row>
    <row r="160" spans="1:30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 t="str">
        <f t="shared" ca="1" si="4"/>
        <v/>
      </c>
      <c r="W160" s="9" t="str">
        <f t="shared" ca="1" si="5"/>
        <v/>
      </c>
      <c r="X160" s="9"/>
      <c r="Y160" s="9"/>
      <c r="Z160" s="9"/>
      <c r="AA160" s="9"/>
      <c r="AB160" s="9"/>
      <c r="AC160" s="9"/>
      <c r="AD160" s="9"/>
    </row>
    <row r="161" spans="1:30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 t="str">
        <f t="shared" ca="1" si="4"/>
        <v/>
      </c>
      <c r="W161" s="9" t="str">
        <f t="shared" ca="1" si="5"/>
        <v/>
      </c>
      <c r="X161" s="9"/>
      <c r="Y161" s="9"/>
      <c r="Z161" s="9"/>
      <c r="AA161" s="9"/>
      <c r="AB161" s="9"/>
      <c r="AC161" s="9"/>
      <c r="AD161" s="9"/>
    </row>
    <row r="162" spans="1:30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 t="str">
        <f t="shared" ca="1" si="4"/>
        <v/>
      </c>
      <c r="W162" s="9" t="str">
        <f t="shared" ca="1" si="5"/>
        <v/>
      </c>
      <c r="X162" s="9"/>
      <c r="Y162" s="9"/>
      <c r="Z162" s="9"/>
      <c r="AA162" s="9"/>
      <c r="AB162" s="9"/>
      <c r="AC162" s="9"/>
      <c r="AD162" s="9"/>
    </row>
    <row r="163" spans="1:30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 t="str">
        <f t="shared" ca="1" si="4"/>
        <v/>
      </c>
      <c r="W163" s="9" t="str">
        <f t="shared" ca="1" si="5"/>
        <v/>
      </c>
      <c r="X163" s="9"/>
      <c r="Y163" s="9"/>
      <c r="Z163" s="9"/>
      <c r="AA163" s="9"/>
      <c r="AB163" s="9"/>
      <c r="AC163" s="9"/>
      <c r="AD163" s="9"/>
    </row>
    <row r="164" spans="1:30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 t="str">
        <f t="shared" ca="1" si="4"/>
        <v/>
      </c>
      <c r="W164" s="9" t="str">
        <f t="shared" ca="1" si="5"/>
        <v/>
      </c>
      <c r="X164" s="9"/>
      <c r="Y164" s="9"/>
      <c r="Z164" s="9"/>
      <c r="AA164" s="9"/>
      <c r="AB164" s="9"/>
      <c r="AC164" s="9"/>
      <c r="AD164" s="9"/>
    </row>
    <row r="165" spans="1:30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 t="str">
        <f t="shared" ca="1" si="4"/>
        <v/>
      </c>
      <c r="W165" s="9" t="str">
        <f t="shared" ca="1" si="5"/>
        <v/>
      </c>
      <c r="X165" s="9"/>
      <c r="Y165" s="9"/>
      <c r="Z165" s="9"/>
      <c r="AA165" s="9"/>
      <c r="AB165" s="9"/>
      <c r="AC165" s="9"/>
      <c r="AD165" s="9"/>
    </row>
    <row r="166" spans="1:30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 t="str">
        <f t="shared" ca="1" si="4"/>
        <v/>
      </c>
      <c r="W166" s="9" t="str">
        <f t="shared" ca="1" si="5"/>
        <v/>
      </c>
      <c r="X166" s="9"/>
      <c r="Y166" s="9"/>
      <c r="Z166" s="9"/>
      <c r="AA166" s="9"/>
      <c r="AB166" s="9"/>
      <c r="AC166" s="9"/>
      <c r="AD166" s="9"/>
    </row>
    <row r="167" spans="1:30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 t="str">
        <f t="shared" ca="1" si="4"/>
        <v/>
      </c>
      <c r="W167" s="9" t="str">
        <f t="shared" ca="1" si="5"/>
        <v/>
      </c>
      <c r="X167" s="9"/>
      <c r="Y167" s="9"/>
      <c r="Z167" s="9"/>
      <c r="AA167" s="9"/>
      <c r="AB167" s="9"/>
      <c r="AC167" s="9"/>
      <c r="AD167" s="9"/>
    </row>
    <row r="168" spans="1:30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 t="str">
        <f t="shared" ca="1" si="4"/>
        <v/>
      </c>
      <c r="W168" s="9" t="str">
        <f t="shared" ca="1" si="5"/>
        <v/>
      </c>
      <c r="X168" s="9"/>
      <c r="Y168" s="9"/>
      <c r="Z168" s="9"/>
      <c r="AA168" s="9"/>
      <c r="AB168" s="9"/>
      <c r="AC168" s="9"/>
      <c r="AD168" s="9"/>
    </row>
    <row r="169" spans="1:30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 t="str">
        <f t="shared" ca="1" si="4"/>
        <v/>
      </c>
      <c r="W169" s="9" t="str">
        <f t="shared" ca="1" si="5"/>
        <v/>
      </c>
      <c r="X169" s="9"/>
      <c r="Y169" s="9"/>
      <c r="Z169" s="9"/>
      <c r="AA169" s="9"/>
      <c r="AB169" s="9"/>
      <c r="AC169" s="9"/>
      <c r="AD169" s="9"/>
    </row>
    <row r="170" spans="1:30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 t="str">
        <f t="shared" ca="1" si="4"/>
        <v/>
      </c>
      <c r="W170" s="9" t="str">
        <f t="shared" ca="1" si="5"/>
        <v/>
      </c>
      <c r="X170" s="9"/>
      <c r="Y170" s="9"/>
      <c r="Z170" s="9"/>
      <c r="AA170" s="9"/>
      <c r="AB170" s="9"/>
      <c r="AC170" s="9"/>
      <c r="AD170" s="9"/>
    </row>
    <row r="171" spans="1:30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 t="str">
        <f t="shared" ca="1" si="4"/>
        <v/>
      </c>
      <c r="W171" s="9" t="str">
        <f t="shared" ca="1" si="5"/>
        <v/>
      </c>
      <c r="X171" s="9"/>
      <c r="Y171" s="9"/>
      <c r="Z171" s="9"/>
      <c r="AA171" s="9"/>
      <c r="AB171" s="9"/>
      <c r="AC171" s="9"/>
      <c r="AD171" s="9"/>
    </row>
    <row r="172" spans="1:30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 t="str">
        <f t="shared" ca="1" si="4"/>
        <v/>
      </c>
      <c r="W172" s="9" t="str">
        <f t="shared" ca="1" si="5"/>
        <v/>
      </c>
      <c r="X172" s="9"/>
      <c r="Y172" s="9"/>
      <c r="Z172" s="9"/>
      <c r="AA172" s="9"/>
      <c r="AB172" s="9"/>
      <c r="AC172" s="9"/>
      <c r="AD172" s="9"/>
    </row>
    <row r="173" spans="1:30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 t="str">
        <f t="shared" ca="1" si="4"/>
        <v/>
      </c>
      <c r="W173" s="9" t="str">
        <f t="shared" ca="1" si="5"/>
        <v/>
      </c>
      <c r="X173" s="9"/>
      <c r="Y173" s="9"/>
      <c r="Z173" s="9"/>
      <c r="AA173" s="9"/>
      <c r="AB173" s="9"/>
      <c r="AC173" s="9"/>
      <c r="AD173" s="9"/>
    </row>
    <row r="174" spans="1:30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 t="str">
        <f t="shared" ca="1" si="4"/>
        <v/>
      </c>
      <c r="W174" s="9" t="str">
        <f t="shared" ca="1" si="5"/>
        <v/>
      </c>
      <c r="X174" s="9"/>
      <c r="Y174" s="9"/>
      <c r="Z174" s="9"/>
      <c r="AA174" s="9"/>
      <c r="AB174" s="9"/>
      <c r="AC174" s="9"/>
      <c r="AD174" s="9"/>
    </row>
    <row r="175" spans="1:30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 t="str">
        <f t="shared" ca="1" si="4"/>
        <v/>
      </c>
      <c r="W175" s="9" t="str">
        <f t="shared" ca="1" si="5"/>
        <v/>
      </c>
      <c r="X175" s="9"/>
      <c r="Y175" s="9"/>
      <c r="Z175" s="9"/>
      <c r="AA175" s="9"/>
      <c r="AB175" s="9"/>
      <c r="AC175" s="9"/>
      <c r="AD175" s="9"/>
    </row>
    <row r="176" spans="1:30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 t="str">
        <f t="shared" ca="1" si="4"/>
        <v/>
      </c>
      <c r="W176" s="9" t="str">
        <f t="shared" ca="1" si="5"/>
        <v/>
      </c>
      <c r="X176" s="9"/>
      <c r="Y176" s="9"/>
      <c r="Z176" s="9"/>
      <c r="AA176" s="9"/>
      <c r="AB176" s="9"/>
      <c r="AC176" s="9"/>
      <c r="AD176" s="9"/>
    </row>
    <row r="177" spans="1:30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 t="str">
        <f t="shared" ca="1" si="4"/>
        <v/>
      </c>
      <c r="W177" s="9" t="str">
        <f t="shared" ca="1" si="5"/>
        <v/>
      </c>
      <c r="X177" s="9"/>
      <c r="Y177" s="9"/>
      <c r="Z177" s="9"/>
      <c r="AA177" s="9"/>
      <c r="AB177" s="9"/>
      <c r="AC177" s="9"/>
      <c r="AD177" s="9"/>
    </row>
    <row r="178" spans="1:30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 t="str">
        <f t="shared" ca="1" si="4"/>
        <v/>
      </c>
      <c r="W178" s="9" t="str">
        <f t="shared" ca="1" si="5"/>
        <v/>
      </c>
      <c r="X178" s="9"/>
      <c r="Y178" s="9"/>
      <c r="Z178" s="9"/>
      <c r="AA178" s="9"/>
      <c r="AB178" s="9"/>
      <c r="AC178" s="9"/>
      <c r="AD178" s="9"/>
    </row>
    <row r="179" spans="1:30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 t="str">
        <f t="shared" ca="1" si="4"/>
        <v/>
      </c>
      <c r="W179" s="9" t="str">
        <f t="shared" ca="1" si="5"/>
        <v/>
      </c>
      <c r="X179" s="9"/>
      <c r="Y179" s="9"/>
      <c r="Z179" s="9"/>
      <c r="AA179" s="9"/>
      <c r="AB179" s="9"/>
      <c r="AC179" s="9"/>
      <c r="AD179" s="9"/>
    </row>
    <row r="180" spans="1:30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 t="str">
        <f t="shared" ca="1" si="4"/>
        <v/>
      </c>
      <c r="W180" s="9" t="str">
        <f t="shared" ca="1" si="5"/>
        <v/>
      </c>
      <c r="X180" s="9"/>
      <c r="Y180" s="9"/>
      <c r="Z180" s="9"/>
      <c r="AA180" s="9"/>
      <c r="AB180" s="9"/>
      <c r="AC180" s="9"/>
      <c r="AD180" s="9"/>
    </row>
    <row r="181" spans="1:30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 t="str">
        <f t="shared" ca="1" si="4"/>
        <v/>
      </c>
      <c r="W181" s="9" t="str">
        <f t="shared" ca="1" si="5"/>
        <v/>
      </c>
      <c r="X181" s="9"/>
      <c r="Y181" s="9"/>
      <c r="Z181" s="9"/>
      <c r="AA181" s="9"/>
      <c r="AB181" s="9"/>
      <c r="AC181" s="9"/>
      <c r="AD181" s="9"/>
    </row>
    <row r="182" spans="1:30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 t="str">
        <f t="shared" ca="1" si="4"/>
        <v/>
      </c>
      <c r="W182" s="9" t="str">
        <f t="shared" ca="1" si="5"/>
        <v/>
      </c>
      <c r="X182" s="9"/>
      <c r="Y182" s="9"/>
      <c r="Z182" s="9"/>
      <c r="AA182" s="9"/>
      <c r="AB182" s="9"/>
      <c r="AC182" s="9"/>
      <c r="AD182" s="9"/>
    </row>
    <row r="183" spans="1:30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 t="str">
        <f t="shared" ca="1" si="4"/>
        <v/>
      </c>
      <c r="W183" s="9" t="str">
        <f t="shared" ca="1" si="5"/>
        <v/>
      </c>
      <c r="X183" s="9"/>
      <c r="Y183" s="9"/>
      <c r="Z183" s="9"/>
      <c r="AA183" s="9"/>
      <c r="AB183" s="9"/>
      <c r="AC183" s="9"/>
      <c r="AD183" s="9"/>
    </row>
    <row r="184" spans="1:30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 t="str">
        <f t="shared" ca="1" si="4"/>
        <v/>
      </c>
      <c r="W184" s="9" t="str">
        <f t="shared" ca="1" si="5"/>
        <v/>
      </c>
      <c r="X184" s="9"/>
      <c r="Y184" s="9"/>
      <c r="Z184" s="9"/>
      <c r="AA184" s="9"/>
      <c r="AB184" s="9"/>
      <c r="AC184" s="9"/>
      <c r="AD184" s="9"/>
    </row>
    <row r="185" spans="1:30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 t="str">
        <f t="shared" ca="1" si="4"/>
        <v/>
      </c>
      <c r="W185" s="9" t="str">
        <f t="shared" ca="1" si="5"/>
        <v/>
      </c>
      <c r="X185" s="9"/>
      <c r="Y185" s="9"/>
      <c r="Z185" s="9"/>
      <c r="AA185" s="9"/>
      <c r="AB185" s="9"/>
      <c r="AC185" s="9"/>
      <c r="AD185" s="9"/>
    </row>
    <row r="186" spans="1:30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 t="str">
        <f t="shared" ca="1" si="4"/>
        <v/>
      </c>
      <c r="W186" s="9" t="str">
        <f t="shared" ca="1" si="5"/>
        <v/>
      </c>
      <c r="X186" s="9"/>
      <c r="Y186" s="9"/>
      <c r="Z186" s="9"/>
      <c r="AA186" s="9"/>
      <c r="AB186" s="9"/>
      <c r="AC186" s="9"/>
      <c r="AD186" s="9"/>
    </row>
    <row r="187" spans="1:30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 t="str">
        <f t="shared" ca="1" si="4"/>
        <v/>
      </c>
      <c r="W187" s="9" t="str">
        <f t="shared" ca="1" si="5"/>
        <v/>
      </c>
      <c r="X187" s="9"/>
      <c r="Y187" s="9"/>
      <c r="Z187" s="9"/>
      <c r="AA187" s="9"/>
      <c r="AB187" s="9"/>
      <c r="AC187" s="9"/>
      <c r="AD187" s="9"/>
    </row>
    <row r="188" spans="1:30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 t="str">
        <f t="shared" ca="1" si="4"/>
        <v/>
      </c>
      <c r="W188" s="9" t="str">
        <f t="shared" ca="1" si="5"/>
        <v/>
      </c>
      <c r="X188" s="9"/>
      <c r="Y188" s="9"/>
      <c r="Z188" s="9"/>
      <c r="AA188" s="9"/>
      <c r="AB188" s="9"/>
      <c r="AC188" s="9"/>
      <c r="AD188" s="9"/>
    </row>
    <row r="189" spans="1:30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 t="str">
        <f t="shared" ca="1" si="4"/>
        <v/>
      </c>
      <c r="W189" s="9" t="str">
        <f t="shared" ca="1" si="5"/>
        <v/>
      </c>
      <c r="X189" s="9"/>
      <c r="Y189" s="9"/>
      <c r="Z189" s="9"/>
      <c r="AA189" s="9"/>
      <c r="AB189" s="9"/>
      <c r="AC189" s="9"/>
      <c r="AD189" s="9"/>
    </row>
    <row r="190" spans="1:30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 t="str">
        <f t="shared" ca="1" si="4"/>
        <v/>
      </c>
      <c r="W190" s="9" t="str">
        <f t="shared" ca="1" si="5"/>
        <v/>
      </c>
      <c r="X190" s="9"/>
      <c r="Y190" s="9"/>
      <c r="Z190" s="9"/>
      <c r="AA190" s="9"/>
      <c r="AB190" s="9"/>
      <c r="AC190" s="9"/>
      <c r="AD190" s="9"/>
    </row>
    <row r="191" spans="1:30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 t="str">
        <f t="shared" ca="1" si="4"/>
        <v/>
      </c>
      <c r="W191" s="9" t="str">
        <f t="shared" ca="1" si="5"/>
        <v/>
      </c>
      <c r="X191" s="9"/>
      <c r="Y191" s="9"/>
      <c r="Z191" s="9"/>
      <c r="AA191" s="9"/>
      <c r="AB191" s="9"/>
      <c r="AC191" s="9"/>
      <c r="AD191" s="9"/>
    </row>
    <row r="192" spans="1:30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 t="str">
        <f t="shared" ca="1" si="4"/>
        <v/>
      </c>
      <c r="W192" s="9" t="str">
        <f t="shared" ca="1" si="5"/>
        <v/>
      </c>
      <c r="X192" s="9"/>
      <c r="Y192" s="9"/>
      <c r="Z192" s="9"/>
      <c r="AA192" s="9"/>
      <c r="AB192" s="9"/>
      <c r="AC192" s="9"/>
      <c r="AD192" s="9"/>
    </row>
    <row r="193" spans="1:30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 t="str">
        <f t="shared" ca="1" si="4"/>
        <v/>
      </c>
      <c r="W193" s="9" t="str">
        <f t="shared" ca="1" si="5"/>
        <v/>
      </c>
      <c r="X193" s="9"/>
      <c r="Y193" s="9"/>
      <c r="Z193" s="9"/>
      <c r="AA193" s="9"/>
      <c r="AB193" s="9"/>
      <c r="AC193" s="9"/>
      <c r="AD193" s="9"/>
    </row>
    <row r="194" spans="1:30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 t="str">
        <f t="shared" ca="1" si="4"/>
        <v/>
      </c>
      <c r="W194" s="9" t="str">
        <f t="shared" ca="1" si="5"/>
        <v/>
      </c>
      <c r="X194" s="9"/>
      <c r="Y194" s="9"/>
      <c r="Z194" s="9"/>
      <c r="AA194" s="9"/>
      <c r="AB194" s="9"/>
      <c r="AC194" s="9"/>
      <c r="AD194" s="9"/>
    </row>
    <row r="195" spans="1:30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 t="str">
        <f t="shared" ref="V195:V258" ca="1" si="6">IF(T195="","",T195-TODAY())</f>
        <v/>
      </c>
      <c r="W195" s="9" t="str">
        <f t="shared" ref="W195:W258" ca="1" si="7">IF(T195="","",IF(T195&lt;TODAY(),"PAST EOS — UNSUPPORTED",IF(T195-TODAY()&lt;=365,"EOS within 12 months","Supported")))</f>
        <v/>
      </c>
      <c r="X195" s="9"/>
      <c r="Y195" s="9"/>
      <c r="Z195" s="9"/>
      <c r="AA195" s="9"/>
      <c r="AB195" s="9"/>
      <c r="AC195" s="9"/>
      <c r="AD195" s="9"/>
    </row>
    <row r="196" spans="1:30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 t="str">
        <f t="shared" ca="1" si="6"/>
        <v/>
      </c>
      <c r="W196" s="9" t="str">
        <f t="shared" ca="1" si="7"/>
        <v/>
      </c>
      <c r="X196" s="9"/>
      <c r="Y196" s="9"/>
      <c r="Z196" s="9"/>
      <c r="AA196" s="9"/>
      <c r="AB196" s="9"/>
      <c r="AC196" s="9"/>
      <c r="AD196" s="9"/>
    </row>
    <row r="197" spans="1:30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 t="str">
        <f t="shared" ca="1" si="6"/>
        <v/>
      </c>
      <c r="W197" s="9" t="str">
        <f t="shared" ca="1" si="7"/>
        <v/>
      </c>
      <c r="X197" s="9"/>
      <c r="Y197" s="9"/>
      <c r="Z197" s="9"/>
      <c r="AA197" s="9"/>
      <c r="AB197" s="9"/>
      <c r="AC197" s="9"/>
      <c r="AD197" s="9"/>
    </row>
    <row r="198" spans="1:30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 t="str">
        <f t="shared" ca="1" si="6"/>
        <v/>
      </c>
      <c r="W198" s="9" t="str">
        <f t="shared" ca="1" si="7"/>
        <v/>
      </c>
      <c r="X198" s="9"/>
      <c r="Y198" s="9"/>
      <c r="Z198" s="9"/>
      <c r="AA198" s="9"/>
      <c r="AB198" s="9"/>
      <c r="AC198" s="9"/>
      <c r="AD198" s="9"/>
    </row>
    <row r="199" spans="1:30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 t="str">
        <f t="shared" ca="1" si="6"/>
        <v/>
      </c>
      <c r="W199" s="9" t="str">
        <f t="shared" ca="1" si="7"/>
        <v/>
      </c>
      <c r="X199" s="9"/>
      <c r="Y199" s="9"/>
      <c r="Z199" s="9"/>
      <c r="AA199" s="9"/>
      <c r="AB199" s="9"/>
      <c r="AC199" s="9"/>
      <c r="AD199" s="9"/>
    </row>
    <row r="200" spans="1:30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 t="str">
        <f t="shared" ca="1" si="6"/>
        <v/>
      </c>
      <c r="W200" s="9" t="str">
        <f t="shared" ca="1" si="7"/>
        <v/>
      </c>
      <c r="X200" s="9"/>
      <c r="Y200" s="9"/>
      <c r="Z200" s="9"/>
      <c r="AA200" s="9"/>
      <c r="AB200" s="9"/>
      <c r="AC200" s="9"/>
      <c r="AD200" s="9"/>
    </row>
    <row r="201" spans="1:30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 t="str">
        <f t="shared" ca="1" si="6"/>
        <v/>
      </c>
      <c r="W201" s="9" t="str">
        <f t="shared" ca="1" si="7"/>
        <v/>
      </c>
      <c r="X201" s="9"/>
      <c r="Y201" s="9"/>
      <c r="Z201" s="9"/>
      <c r="AA201" s="9"/>
      <c r="AB201" s="9"/>
      <c r="AC201" s="9"/>
      <c r="AD201" s="9"/>
    </row>
    <row r="202" spans="1:30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 t="str">
        <f t="shared" ca="1" si="6"/>
        <v/>
      </c>
      <c r="W202" s="9" t="str">
        <f t="shared" ca="1" si="7"/>
        <v/>
      </c>
      <c r="X202" s="9"/>
      <c r="Y202" s="9"/>
      <c r="Z202" s="9"/>
      <c r="AA202" s="9"/>
      <c r="AB202" s="9"/>
      <c r="AC202" s="9"/>
      <c r="AD202" s="9"/>
    </row>
    <row r="203" spans="1:30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 t="str">
        <f t="shared" ca="1" si="6"/>
        <v/>
      </c>
      <c r="W203" s="9" t="str">
        <f t="shared" ca="1" si="7"/>
        <v/>
      </c>
      <c r="X203" s="9"/>
      <c r="Y203" s="9"/>
      <c r="Z203" s="9"/>
      <c r="AA203" s="9"/>
      <c r="AB203" s="9"/>
      <c r="AC203" s="9"/>
      <c r="AD203" s="9"/>
    </row>
    <row r="204" spans="1:30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 t="str">
        <f t="shared" ca="1" si="6"/>
        <v/>
      </c>
      <c r="W204" s="9" t="str">
        <f t="shared" ca="1" si="7"/>
        <v/>
      </c>
      <c r="X204" s="9"/>
      <c r="Y204" s="9"/>
      <c r="Z204" s="9"/>
      <c r="AA204" s="9"/>
      <c r="AB204" s="9"/>
      <c r="AC204" s="9"/>
      <c r="AD204" s="9"/>
    </row>
    <row r="205" spans="1:30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 t="str">
        <f t="shared" ca="1" si="6"/>
        <v/>
      </c>
      <c r="W205" s="9" t="str">
        <f t="shared" ca="1" si="7"/>
        <v/>
      </c>
      <c r="X205" s="9"/>
      <c r="Y205" s="9"/>
      <c r="Z205" s="9"/>
      <c r="AA205" s="9"/>
      <c r="AB205" s="9"/>
      <c r="AC205" s="9"/>
      <c r="AD205" s="9"/>
    </row>
    <row r="206" spans="1:30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 t="str">
        <f t="shared" ca="1" si="6"/>
        <v/>
      </c>
      <c r="W206" s="9" t="str">
        <f t="shared" ca="1" si="7"/>
        <v/>
      </c>
      <c r="X206" s="9"/>
      <c r="Y206" s="9"/>
      <c r="Z206" s="9"/>
      <c r="AA206" s="9"/>
      <c r="AB206" s="9"/>
      <c r="AC206" s="9"/>
      <c r="AD206" s="9"/>
    </row>
    <row r="207" spans="1:30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 t="str">
        <f t="shared" ca="1" si="6"/>
        <v/>
      </c>
      <c r="W207" s="9" t="str">
        <f t="shared" ca="1" si="7"/>
        <v/>
      </c>
      <c r="X207" s="9"/>
      <c r="Y207" s="9"/>
      <c r="Z207" s="9"/>
      <c r="AA207" s="9"/>
      <c r="AB207" s="9"/>
      <c r="AC207" s="9"/>
      <c r="AD207" s="9"/>
    </row>
    <row r="208" spans="1:30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 t="str">
        <f t="shared" ca="1" si="6"/>
        <v/>
      </c>
      <c r="W208" s="9" t="str">
        <f t="shared" ca="1" si="7"/>
        <v/>
      </c>
      <c r="X208" s="9"/>
      <c r="Y208" s="9"/>
      <c r="Z208" s="9"/>
      <c r="AA208" s="9"/>
      <c r="AB208" s="9"/>
      <c r="AC208" s="9"/>
      <c r="AD208" s="9"/>
    </row>
    <row r="209" spans="1:30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 t="str">
        <f t="shared" ca="1" si="6"/>
        <v/>
      </c>
      <c r="W209" s="9" t="str">
        <f t="shared" ca="1" si="7"/>
        <v/>
      </c>
      <c r="X209" s="9"/>
      <c r="Y209" s="9"/>
      <c r="Z209" s="9"/>
      <c r="AA209" s="9"/>
      <c r="AB209" s="9"/>
      <c r="AC209" s="9"/>
      <c r="AD209" s="9"/>
    </row>
    <row r="210" spans="1:30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 t="str">
        <f t="shared" ca="1" si="6"/>
        <v/>
      </c>
      <c r="W210" s="9" t="str">
        <f t="shared" ca="1" si="7"/>
        <v/>
      </c>
      <c r="X210" s="9"/>
      <c r="Y210" s="9"/>
      <c r="Z210" s="9"/>
      <c r="AA210" s="9"/>
      <c r="AB210" s="9"/>
      <c r="AC210" s="9"/>
      <c r="AD210" s="9"/>
    </row>
    <row r="211" spans="1:30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 t="str">
        <f t="shared" ca="1" si="6"/>
        <v/>
      </c>
      <c r="W211" s="9" t="str">
        <f t="shared" ca="1" si="7"/>
        <v/>
      </c>
      <c r="X211" s="9"/>
      <c r="Y211" s="9"/>
      <c r="Z211" s="9"/>
      <c r="AA211" s="9"/>
      <c r="AB211" s="9"/>
      <c r="AC211" s="9"/>
      <c r="AD211" s="9"/>
    </row>
    <row r="212" spans="1:30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 t="str">
        <f t="shared" ca="1" si="6"/>
        <v/>
      </c>
      <c r="W212" s="9" t="str">
        <f t="shared" ca="1" si="7"/>
        <v/>
      </c>
      <c r="X212" s="9"/>
      <c r="Y212" s="9"/>
      <c r="Z212" s="9"/>
      <c r="AA212" s="9"/>
      <c r="AB212" s="9"/>
      <c r="AC212" s="9"/>
      <c r="AD212" s="9"/>
    </row>
    <row r="213" spans="1:30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 t="str">
        <f t="shared" ca="1" si="6"/>
        <v/>
      </c>
      <c r="W213" s="9" t="str">
        <f t="shared" ca="1" si="7"/>
        <v/>
      </c>
      <c r="X213" s="9"/>
      <c r="Y213" s="9"/>
      <c r="Z213" s="9"/>
      <c r="AA213" s="9"/>
      <c r="AB213" s="9"/>
      <c r="AC213" s="9"/>
      <c r="AD213" s="9"/>
    </row>
    <row r="214" spans="1:30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 t="str">
        <f t="shared" ca="1" si="6"/>
        <v/>
      </c>
      <c r="W214" s="9" t="str">
        <f t="shared" ca="1" si="7"/>
        <v/>
      </c>
      <c r="X214" s="9"/>
      <c r="Y214" s="9"/>
      <c r="Z214" s="9"/>
      <c r="AA214" s="9"/>
      <c r="AB214" s="9"/>
      <c r="AC214" s="9"/>
      <c r="AD214" s="9"/>
    </row>
    <row r="215" spans="1:30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 t="str">
        <f t="shared" ca="1" si="6"/>
        <v/>
      </c>
      <c r="W215" s="9" t="str">
        <f t="shared" ca="1" si="7"/>
        <v/>
      </c>
      <c r="X215" s="9"/>
      <c r="Y215" s="9"/>
      <c r="Z215" s="9"/>
      <c r="AA215" s="9"/>
      <c r="AB215" s="9"/>
      <c r="AC215" s="9"/>
      <c r="AD215" s="9"/>
    </row>
    <row r="216" spans="1:30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 t="str">
        <f t="shared" ca="1" si="6"/>
        <v/>
      </c>
      <c r="W216" s="9" t="str">
        <f t="shared" ca="1" si="7"/>
        <v/>
      </c>
      <c r="X216" s="9"/>
      <c r="Y216" s="9"/>
      <c r="Z216" s="9"/>
      <c r="AA216" s="9"/>
      <c r="AB216" s="9"/>
      <c r="AC216" s="9"/>
      <c r="AD216" s="9"/>
    </row>
    <row r="217" spans="1:30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 t="str">
        <f t="shared" ca="1" si="6"/>
        <v/>
      </c>
      <c r="W217" s="9" t="str">
        <f t="shared" ca="1" si="7"/>
        <v/>
      </c>
      <c r="X217" s="9"/>
      <c r="Y217" s="9"/>
      <c r="Z217" s="9"/>
      <c r="AA217" s="9"/>
      <c r="AB217" s="9"/>
      <c r="AC217" s="9"/>
      <c r="AD217" s="9"/>
    </row>
    <row r="218" spans="1:30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 t="str">
        <f t="shared" ca="1" si="6"/>
        <v/>
      </c>
      <c r="W218" s="9" t="str">
        <f t="shared" ca="1" si="7"/>
        <v/>
      </c>
      <c r="X218" s="9"/>
      <c r="Y218" s="9"/>
      <c r="Z218" s="9"/>
      <c r="AA218" s="9"/>
      <c r="AB218" s="9"/>
      <c r="AC218" s="9"/>
      <c r="AD218" s="9"/>
    </row>
    <row r="219" spans="1:30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 t="str">
        <f t="shared" ca="1" si="6"/>
        <v/>
      </c>
      <c r="W219" s="9" t="str">
        <f t="shared" ca="1" si="7"/>
        <v/>
      </c>
      <c r="X219" s="9"/>
      <c r="Y219" s="9"/>
      <c r="Z219" s="9"/>
      <c r="AA219" s="9"/>
      <c r="AB219" s="9"/>
      <c r="AC219" s="9"/>
      <c r="AD219" s="9"/>
    </row>
    <row r="220" spans="1:30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 t="str">
        <f t="shared" ca="1" si="6"/>
        <v/>
      </c>
      <c r="W220" s="9" t="str">
        <f t="shared" ca="1" si="7"/>
        <v/>
      </c>
      <c r="X220" s="9"/>
      <c r="Y220" s="9"/>
      <c r="Z220" s="9"/>
      <c r="AA220" s="9"/>
      <c r="AB220" s="9"/>
      <c r="AC220" s="9"/>
      <c r="AD220" s="9"/>
    </row>
    <row r="221" spans="1:30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 t="str">
        <f t="shared" ca="1" si="6"/>
        <v/>
      </c>
      <c r="W221" s="9" t="str">
        <f t="shared" ca="1" si="7"/>
        <v/>
      </c>
      <c r="X221" s="9"/>
      <c r="Y221" s="9"/>
      <c r="Z221" s="9"/>
      <c r="AA221" s="9"/>
      <c r="AB221" s="9"/>
      <c r="AC221" s="9"/>
      <c r="AD221" s="9"/>
    </row>
    <row r="222" spans="1:30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 t="str">
        <f t="shared" ca="1" si="6"/>
        <v/>
      </c>
      <c r="W222" s="9" t="str">
        <f t="shared" ca="1" si="7"/>
        <v/>
      </c>
      <c r="X222" s="9"/>
      <c r="Y222" s="9"/>
      <c r="Z222" s="9"/>
      <c r="AA222" s="9"/>
      <c r="AB222" s="9"/>
      <c r="AC222" s="9"/>
      <c r="AD222" s="9"/>
    </row>
    <row r="223" spans="1:30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 t="str">
        <f t="shared" ca="1" si="6"/>
        <v/>
      </c>
      <c r="W223" s="9" t="str">
        <f t="shared" ca="1" si="7"/>
        <v/>
      </c>
      <c r="X223" s="9"/>
      <c r="Y223" s="9"/>
      <c r="Z223" s="9"/>
      <c r="AA223" s="9"/>
      <c r="AB223" s="9"/>
      <c r="AC223" s="9"/>
      <c r="AD223" s="9"/>
    </row>
    <row r="224" spans="1:30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 t="str">
        <f t="shared" ca="1" si="6"/>
        <v/>
      </c>
      <c r="W224" s="9" t="str">
        <f t="shared" ca="1" si="7"/>
        <v/>
      </c>
      <c r="X224" s="9"/>
      <c r="Y224" s="9"/>
      <c r="Z224" s="9"/>
      <c r="AA224" s="9"/>
      <c r="AB224" s="9"/>
      <c r="AC224" s="9"/>
      <c r="AD224" s="9"/>
    </row>
    <row r="225" spans="1:30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 t="str">
        <f t="shared" ca="1" si="6"/>
        <v/>
      </c>
      <c r="W225" s="9" t="str">
        <f t="shared" ca="1" si="7"/>
        <v/>
      </c>
      <c r="X225" s="9"/>
      <c r="Y225" s="9"/>
      <c r="Z225" s="9"/>
      <c r="AA225" s="9"/>
      <c r="AB225" s="9"/>
      <c r="AC225" s="9"/>
      <c r="AD225" s="9"/>
    </row>
    <row r="226" spans="1:30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 t="str">
        <f t="shared" ca="1" si="6"/>
        <v/>
      </c>
      <c r="W226" s="9" t="str">
        <f t="shared" ca="1" si="7"/>
        <v/>
      </c>
      <c r="X226" s="9"/>
      <c r="Y226" s="9"/>
      <c r="Z226" s="9"/>
      <c r="AA226" s="9"/>
      <c r="AB226" s="9"/>
      <c r="AC226" s="9"/>
      <c r="AD226" s="9"/>
    </row>
    <row r="227" spans="1:30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 t="str">
        <f t="shared" ca="1" si="6"/>
        <v/>
      </c>
      <c r="W227" s="9" t="str">
        <f t="shared" ca="1" si="7"/>
        <v/>
      </c>
      <c r="X227" s="9"/>
      <c r="Y227" s="9"/>
      <c r="Z227" s="9"/>
      <c r="AA227" s="9"/>
      <c r="AB227" s="9"/>
      <c r="AC227" s="9"/>
      <c r="AD227" s="9"/>
    </row>
    <row r="228" spans="1:30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 t="str">
        <f t="shared" ca="1" si="6"/>
        <v/>
      </c>
      <c r="W228" s="9" t="str">
        <f t="shared" ca="1" si="7"/>
        <v/>
      </c>
      <c r="X228" s="9"/>
      <c r="Y228" s="9"/>
      <c r="Z228" s="9"/>
      <c r="AA228" s="9"/>
      <c r="AB228" s="9"/>
      <c r="AC228" s="9"/>
      <c r="AD228" s="9"/>
    </row>
    <row r="229" spans="1:30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 t="str">
        <f t="shared" ca="1" si="6"/>
        <v/>
      </c>
      <c r="W229" s="9" t="str">
        <f t="shared" ca="1" si="7"/>
        <v/>
      </c>
      <c r="X229" s="9"/>
      <c r="Y229" s="9"/>
      <c r="Z229" s="9"/>
      <c r="AA229" s="9"/>
      <c r="AB229" s="9"/>
      <c r="AC229" s="9"/>
      <c r="AD229" s="9"/>
    </row>
    <row r="230" spans="1:30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 t="str">
        <f t="shared" ca="1" si="6"/>
        <v/>
      </c>
      <c r="W230" s="9" t="str">
        <f t="shared" ca="1" si="7"/>
        <v/>
      </c>
      <c r="X230" s="9"/>
      <c r="Y230" s="9"/>
      <c r="Z230" s="9"/>
      <c r="AA230" s="9"/>
      <c r="AB230" s="9"/>
      <c r="AC230" s="9"/>
      <c r="AD230" s="9"/>
    </row>
    <row r="231" spans="1:30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 t="str">
        <f t="shared" ca="1" si="6"/>
        <v/>
      </c>
      <c r="W231" s="9" t="str">
        <f t="shared" ca="1" si="7"/>
        <v/>
      </c>
      <c r="X231" s="9"/>
      <c r="Y231" s="9"/>
      <c r="Z231" s="9"/>
      <c r="AA231" s="9"/>
      <c r="AB231" s="9"/>
      <c r="AC231" s="9"/>
      <c r="AD231" s="9"/>
    </row>
    <row r="232" spans="1:30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 t="str">
        <f t="shared" ca="1" si="6"/>
        <v/>
      </c>
      <c r="W232" s="9" t="str">
        <f t="shared" ca="1" si="7"/>
        <v/>
      </c>
      <c r="X232" s="9"/>
      <c r="Y232" s="9"/>
      <c r="Z232" s="9"/>
      <c r="AA232" s="9"/>
      <c r="AB232" s="9"/>
      <c r="AC232" s="9"/>
      <c r="AD232" s="9"/>
    </row>
    <row r="233" spans="1:30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 t="str">
        <f t="shared" ca="1" si="6"/>
        <v/>
      </c>
      <c r="W233" s="9" t="str">
        <f t="shared" ca="1" si="7"/>
        <v/>
      </c>
      <c r="X233" s="9"/>
      <c r="Y233" s="9"/>
      <c r="Z233" s="9"/>
      <c r="AA233" s="9"/>
      <c r="AB233" s="9"/>
      <c r="AC233" s="9"/>
      <c r="AD233" s="9"/>
    </row>
    <row r="234" spans="1:30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 t="str">
        <f t="shared" ca="1" si="6"/>
        <v/>
      </c>
      <c r="W234" s="9" t="str">
        <f t="shared" ca="1" si="7"/>
        <v/>
      </c>
      <c r="X234" s="9"/>
      <c r="Y234" s="9"/>
      <c r="Z234" s="9"/>
      <c r="AA234" s="9"/>
      <c r="AB234" s="9"/>
      <c r="AC234" s="9"/>
      <c r="AD234" s="9"/>
    </row>
    <row r="235" spans="1:30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 t="str">
        <f t="shared" ca="1" si="6"/>
        <v/>
      </c>
      <c r="W235" s="9" t="str">
        <f t="shared" ca="1" si="7"/>
        <v/>
      </c>
      <c r="X235" s="9"/>
      <c r="Y235" s="9"/>
      <c r="Z235" s="9"/>
      <c r="AA235" s="9"/>
      <c r="AB235" s="9"/>
      <c r="AC235" s="9"/>
      <c r="AD235" s="9"/>
    </row>
    <row r="236" spans="1:30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 t="str">
        <f t="shared" ca="1" si="6"/>
        <v/>
      </c>
      <c r="W236" s="9" t="str">
        <f t="shared" ca="1" si="7"/>
        <v/>
      </c>
      <c r="X236" s="9"/>
      <c r="Y236" s="9"/>
      <c r="Z236" s="9"/>
      <c r="AA236" s="9"/>
      <c r="AB236" s="9"/>
      <c r="AC236" s="9"/>
      <c r="AD236" s="9"/>
    </row>
    <row r="237" spans="1:30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 t="str">
        <f t="shared" ca="1" si="6"/>
        <v/>
      </c>
      <c r="W237" s="9" t="str">
        <f t="shared" ca="1" si="7"/>
        <v/>
      </c>
      <c r="X237" s="9"/>
      <c r="Y237" s="9"/>
      <c r="Z237" s="9"/>
      <c r="AA237" s="9"/>
      <c r="AB237" s="9"/>
      <c r="AC237" s="9"/>
      <c r="AD237" s="9"/>
    </row>
    <row r="238" spans="1:30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 t="str">
        <f t="shared" ca="1" si="6"/>
        <v/>
      </c>
      <c r="W238" s="9" t="str">
        <f t="shared" ca="1" si="7"/>
        <v/>
      </c>
      <c r="X238" s="9"/>
      <c r="Y238" s="9"/>
      <c r="Z238" s="9"/>
      <c r="AA238" s="9"/>
      <c r="AB238" s="9"/>
      <c r="AC238" s="9"/>
      <c r="AD238" s="9"/>
    </row>
    <row r="239" spans="1:30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 t="str">
        <f t="shared" ca="1" si="6"/>
        <v/>
      </c>
      <c r="W239" s="9" t="str">
        <f t="shared" ca="1" si="7"/>
        <v/>
      </c>
      <c r="X239" s="9"/>
      <c r="Y239" s="9"/>
      <c r="Z239" s="9"/>
      <c r="AA239" s="9"/>
      <c r="AB239" s="9"/>
      <c r="AC239" s="9"/>
      <c r="AD239" s="9"/>
    </row>
    <row r="240" spans="1:30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 t="str">
        <f t="shared" ca="1" si="6"/>
        <v/>
      </c>
      <c r="W240" s="9" t="str">
        <f t="shared" ca="1" si="7"/>
        <v/>
      </c>
      <c r="X240" s="9"/>
      <c r="Y240" s="9"/>
      <c r="Z240" s="9"/>
      <c r="AA240" s="9"/>
      <c r="AB240" s="9"/>
      <c r="AC240" s="9"/>
      <c r="AD240" s="9"/>
    </row>
    <row r="241" spans="1:30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 t="str">
        <f t="shared" ca="1" si="6"/>
        <v/>
      </c>
      <c r="W241" s="9" t="str">
        <f t="shared" ca="1" si="7"/>
        <v/>
      </c>
      <c r="X241" s="9"/>
      <c r="Y241" s="9"/>
      <c r="Z241" s="9"/>
      <c r="AA241" s="9"/>
      <c r="AB241" s="9"/>
      <c r="AC241" s="9"/>
      <c r="AD241" s="9"/>
    </row>
    <row r="242" spans="1:30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 t="str">
        <f t="shared" ca="1" si="6"/>
        <v/>
      </c>
      <c r="W242" s="9" t="str">
        <f t="shared" ca="1" si="7"/>
        <v/>
      </c>
      <c r="X242" s="9"/>
      <c r="Y242" s="9"/>
      <c r="Z242" s="9"/>
      <c r="AA242" s="9"/>
      <c r="AB242" s="9"/>
      <c r="AC242" s="9"/>
      <c r="AD242" s="9"/>
    </row>
    <row r="243" spans="1:30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 t="str">
        <f t="shared" ca="1" si="6"/>
        <v/>
      </c>
      <c r="W243" s="9" t="str">
        <f t="shared" ca="1" si="7"/>
        <v/>
      </c>
      <c r="X243" s="9"/>
      <c r="Y243" s="9"/>
      <c r="Z243" s="9"/>
      <c r="AA243" s="9"/>
      <c r="AB243" s="9"/>
      <c r="AC243" s="9"/>
      <c r="AD243" s="9"/>
    </row>
    <row r="244" spans="1:30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 t="str">
        <f t="shared" ca="1" si="6"/>
        <v/>
      </c>
      <c r="W244" s="9" t="str">
        <f t="shared" ca="1" si="7"/>
        <v/>
      </c>
      <c r="X244" s="9"/>
      <c r="Y244" s="9"/>
      <c r="Z244" s="9"/>
      <c r="AA244" s="9"/>
      <c r="AB244" s="9"/>
      <c r="AC244" s="9"/>
      <c r="AD244" s="9"/>
    </row>
    <row r="245" spans="1:30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 t="str">
        <f t="shared" ca="1" si="6"/>
        <v/>
      </c>
      <c r="W245" s="9" t="str">
        <f t="shared" ca="1" si="7"/>
        <v/>
      </c>
      <c r="X245" s="9"/>
      <c r="Y245" s="9"/>
      <c r="Z245" s="9"/>
      <c r="AA245" s="9"/>
      <c r="AB245" s="9"/>
      <c r="AC245" s="9"/>
      <c r="AD245" s="9"/>
    </row>
    <row r="246" spans="1:30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 t="str">
        <f t="shared" ca="1" si="6"/>
        <v/>
      </c>
      <c r="W246" s="9" t="str">
        <f t="shared" ca="1" si="7"/>
        <v/>
      </c>
      <c r="X246" s="9"/>
      <c r="Y246" s="9"/>
      <c r="Z246" s="9"/>
      <c r="AA246" s="9"/>
      <c r="AB246" s="9"/>
      <c r="AC246" s="9"/>
      <c r="AD246" s="9"/>
    </row>
    <row r="247" spans="1:30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 t="str">
        <f t="shared" ca="1" si="6"/>
        <v/>
      </c>
      <c r="W247" s="9" t="str">
        <f t="shared" ca="1" si="7"/>
        <v/>
      </c>
      <c r="X247" s="9"/>
      <c r="Y247" s="9"/>
      <c r="Z247" s="9"/>
      <c r="AA247" s="9"/>
      <c r="AB247" s="9"/>
      <c r="AC247" s="9"/>
      <c r="AD247" s="9"/>
    </row>
    <row r="248" spans="1:30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 t="str">
        <f t="shared" ca="1" si="6"/>
        <v/>
      </c>
      <c r="W248" s="9" t="str">
        <f t="shared" ca="1" si="7"/>
        <v/>
      </c>
      <c r="X248" s="9"/>
      <c r="Y248" s="9"/>
      <c r="Z248" s="9"/>
      <c r="AA248" s="9"/>
      <c r="AB248" s="9"/>
      <c r="AC248" s="9"/>
      <c r="AD248" s="9"/>
    </row>
    <row r="249" spans="1:30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 t="str">
        <f t="shared" ca="1" si="6"/>
        <v/>
      </c>
      <c r="W249" s="9" t="str">
        <f t="shared" ca="1" si="7"/>
        <v/>
      </c>
      <c r="X249" s="9"/>
      <c r="Y249" s="9"/>
      <c r="Z249" s="9"/>
      <c r="AA249" s="9"/>
      <c r="AB249" s="9"/>
      <c r="AC249" s="9"/>
      <c r="AD249" s="9"/>
    </row>
    <row r="250" spans="1:30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 t="str">
        <f t="shared" ca="1" si="6"/>
        <v/>
      </c>
      <c r="W250" s="9" t="str">
        <f t="shared" ca="1" si="7"/>
        <v/>
      </c>
      <c r="X250" s="9"/>
      <c r="Y250" s="9"/>
      <c r="Z250" s="9"/>
      <c r="AA250" s="9"/>
      <c r="AB250" s="9"/>
      <c r="AC250" s="9"/>
      <c r="AD250" s="9"/>
    </row>
    <row r="251" spans="1:30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 t="str">
        <f t="shared" ca="1" si="6"/>
        <v/>
      </c>
      <c r="W251" s="9" t="str">
        <f t="shared" ca="1" si="7"/>
        <v/>
      </c>
      <c r="X251" s="9"/>
      <c r="Y251" s="9"/>
      <c r="Z251" s="9"/>
      <c r="AA251" s="9"/>
      <c r="AB251" s="9"/>
      <c r="AC251" s="9"/>
      <c r="AD251" s="9"/>
    </row>
    <row r="252" spans="1:30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 t="str">
        <f t="shared" ca="1" si="6"/>
        <v/>
      </c>
      <c r="W252" s="9" t="str">
        <f t="shared" ca="1" si="7"/>
        <v/>
      </c>
      <c r="X252" s="9"/>
      <c r="Y252" s="9"/>
      <c r="Z252" s="9"/>
      <c r="AA252" s="9"/>
      <c r="AB252" s="9"/>
      <c r="AC252" s="9"/>
      <c r="AD252" s="9"/>
    </row>
    <row r="253" spans="1:30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 t="str">
        <f t="shared" ca="1" si="6"/>
        <v/>
      </c>
      <c r="W253" s="9" t="str">
        <f t="shared" ca="1" si="7"/>
        <v/>
      </c>
      <c r="X253" s="9"/>
      <c r="Y253" s="9"/>
      <c r="Z253" s="9"/>
      <c r="AA253" s="9"/>
      <c r="AB253" s="9"/>
      <c r="AC253" s="9"/>
      <c r="AD253" s="9"/>
    </row>
    <row r="254" spans="1:30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 t="str">
        <f t="shared" ca="1" si="6"/>
        <v/>
      </c>
      <c r="W254" s="9" t="str">
        <f t="shared" ca="1" si="7"/>
        <v/>
      </c>
      <c r="X254" s="9"/>
      <c r="Y254" s="9"/>
      <c r="Z254" s="9"/>
      <c r="AA254" s="9"/>
      <c r="AB254" s="9"/>
      <c r="AC254" s="9"/>
      <c r="AD254" s="9"/>
    </row>
    <row r="255" spans="1:30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 t="str">
        <f t="shared" ca="1" si="6"/>
        <v/>
      </c>
      <c r="W255" s="9" t="str">
        <f t="shared" ca="1" si="7"/>
        <v/>
      </c>
      <c r="X255" s="9"/>
      <c r="Y255" s="9"/>
      <c r="Z255" s="9"/>
      <c r="AA255" s="9"/>
      <c r="AB255" s="9"/>
      <c r="AC255" s="9"/>
      <c r="AD255" s="9"/>
    </row>
    <row r="256" spans="1:30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 t="str">
        <f t="shared" ca="1" si="6"/>
        <v/>
      </c>
      <c r="W256" s="9" t="str">
        <f t="shared" ca="1" si="7"/>
        <v/>
      </c>
      <c r="X256" s="9"/>
      <c r="Y256" s="9"/>
      <c r="Z256" s="9"/>
      <c r="AA256" s="9"/>
      <c r="AB256" s="9"/>
      <c r="AC256" s="9"/>
      <c r="AD256" s="9"/>
    </row>
    <row r="257" spans="1:30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 t="str">
        <f t="shared" ca="1" si="6"/>
        <v/>
      </c>
      <c r="W257" s="9" t="str">
        <f t="shared" ca="1" si="7"/>
        <v/>
      </c>
      <c r="X257" s="9"/>
      <c r="Y257" s="9"/>
      <c r="Z257" s="9"/>
      <c r="AA257" s="9"/>
      <c r="AB257" s="9"/>
      <c r="AC257" s="9"/>
      <c r="AD257" s="9"/>
    </row>
    <row r="258" spans="1:30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 t="str">
        <f t="shared" ca="1" si="6"/>
        <v/>
      </c>
      <c r="W258" s="9" t="str">
        <f t="shared" ca="1" si="7"/>
        <v/>
      </c>
      <c r="X258" s="9"/>
      <c r="Y258" s="9"/>
      <c r="Z258" s="9"/>
      <c r="AA258" s="9"/>
      <c r="AB258" s="9"/>
      <c r="AC258" s="9"/>
      <c r="AD258" s="9"/>
    </row>
    <row r="259" spans="1:30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 t="str">
        <f t="shared" ref="V259:V322" ca="1" si="8">IF(T259="","",T259-TODAY())</f>
        <v/>
      </c>
      <c r="W259" s="9" t="str">
        <f t="shared" ref="W259:W322" ca="1" si="9">IF(T259="","",IF(T259&lt;TODAY(),"PAST EOS — UNSUPPORTED",IF(T259-TODAY()&lt;=365,"EOS within 12 months","Supported")))</f>
        <v/>
      </c>
      <c r="X259" s="9"/>
      <c r="Y259" s="9"/>
      <c r="Z259" s="9"/>
      <c r="AA259" s="9"/>
      <c r="AB259" s="9"/>
      <c r="AC259" s="9"/>
      <c r="AD259" s="9"/>
    </row>
    <row r="260" spans="1:30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 t="str">
        <f t="shared" ca="1" si="8"/>
        <v/>
      </c>
      <c r="W260" s="9" t="str">
        <f t="shared" ca="1" si="9"/>
        <v/>
      </c>
      <c r="X260" s="9"/>
      <c r="Y260" s="9"/>
      <c r="Z260" s="9"/>
      <c r="AA260" s="9"/>
      <c r="AB260" s="9"/>
      <c r="AC260" s="9"/>
      <c r="AD260" s="9"/>
    </row>
    <row r="261" spans="1:30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 t="str">
        <f t="shared" ca="1" si="8"/>
        <v/>
      </c>
      <c r="W261" s="9" t="str">
        <f t="shared" ca="1" si="9"/>
        <v/>
      </c>
      <c r="X261" s="9"/>
      <c r="Y261" s="9"/>
      <c r="Z261" s="9"/>
      <c r="AA261" s="9"/>
      <c r="AB261" s="9"/>
      <c r="AC261" s="9"/>
      <c r="AD261" s="9"/>
    </row>
    <row r="262" spans="1:30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 t="str">
        <f t="shared" ca="1" si="8"/>
        <v/>
      </c>
      <c r="W262" s="9" t="str">
        <f t="shared" ca="1" si="9"/>
        <v/>
      </c>
      <c r="X262" s="9"/>
      <c r="Y262" s="9"/>
      <c r="Z262" s="9"/>
      <c r="AA262" s="9"/>
      <c r="AB262" s="9"/>
      <c r="AC262" s="9"/>
      <c r="AD262" s="9"/>
    </row>
    <row r="263" spans="1:30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 t="str">
        <f t="shared" ca="1" si="8"/>
        <v/>
      </c>
      <c r="W263" s="9" t="str">
        <f t="shared" ca="1" si="9"/>
        <v/>
      </c>
      <c r="X263" s="9"/>
      <c r="Y263" s="9"/>
      <c r="Z263" s="9"/>
      <c r="AA263" s="9"/>
      <c r="AB263" s="9"/>
      <c r="AC263" s="9"/>
      <c r="AD263" s="9"/>
    </row>
    <row r="264" spans="1:30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 t="str">
        <f t="shared" ca="1" si="8"/>
        <v/>
      </c>
      <c r="W264" s="9" t="str">
        <f t="shared" ca="1" si="9"/>
        <v/>
      </c>
      <c r="X264" s="9"/>
      <c r="Y264" s="9"/>
      <c r="Z264" s="9"/>
      <c r="AA264" s="9"/>
      <c r="AB264" s="9"/>
      <c r="AC264" s="9"/>
      <c r="AD264" s="9"/>
    </row>
    <row r="265" spans="1:30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 t="str">
        <f t="shared" ca="1" si="8"/>
        <v/>
      </c>
      <c r="W265" s="9" t="str">
        <f t="shared" ca="1" si="9"/>
        <v/>
      </c>
      <c r="X265" s="9"/>
      <c r="Y265" s="9"/>
      <c r="Z265" s="9"/>
      <c r="AA265" s="9"/>
      <c r="AB265" s="9"/>
      <c r="AC265" s="9"/>
      <c r="AD265" s="9"/>
    </row>
    <row r="266" spans="1:30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 t="str">
        <f t="shared" ca="1" si="8"/>
        <v/>
      </c>
      <c r="W266" s="9" t="str">
        <f t="shared" ca="1" si="9"/>
        <v/>
      </c>
      <c r="X266" s="9"/>
      <c r="Y266" s="9"/>
      <c r="Z266" s="9"/>
      <c r="AA266" s="9"/>
      <c r="AB266" s="9"/>
      <c r="AC266" s="9"/>
      <c r="AD266" s="9"/>
    </row>
    <row r="267" spans="1:30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 t="str">
        <f t="shared" ca="1" si="8"/>
        <v/>
      </c>
      <c r="W267" s="9" t="str">
        <f t="shared" ca="1" si="9"/>
        <v/>
      </c>
      <c r="X267" s="9"/>
      <c r="Y267" s="9"/>
      <c r="Z267" s="9"/>
      <c r="AA267" s="9"/>
      <c r="AB267" s="9"/>
      <c r="AC267" s="9"/>
      <c r="AD267" s="9"/>
    </row>
    <row r="268" spans="1:30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 t="str">
        <f t="shared" ca="1" si="8"/>
        <v/>
      </c>
      <c r="W268" s="9" t="str">
        <f t="shared" ca="1" si="9"/>
        <v/>
      </c>
      <c r="X268" s="9"/>
      <c r="Y268" s="9"/>
      <c r="Z268" s="9"/>
      <c r="AA268" s="9"/>
      <c r="AB268" s="9"/>
      <c r="AC268" s="9"/>
      <c r="AD268" s="9"/>
    </row>
    <row r="269" spans="1:30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 t="str">
        <f t="shared" ca="1" si="8"/>
        <v/>
      </c>
      <c r="W269" s="9" t="str">
        <f t="shared" ca="1" si="9"/>
        <v/>
      </c>
      <c r="X269" s="9"/>
      <c r="Y269" s="9"/>
      <c r="Z269" s="9"/>
      <c r="AA269" s="9"/>
      <c r="AB269" s="9"/>
      <c r="AC269" s="9"/>
      <c r="AD269" s="9"/>
    </row>
    <row r="270" spans="1:30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 t="str">
        <f t="shared" ca="1" si="8"/>
        <v/>
      </c>
      <c r="W270" s="9" t="str">
        <f t="shared" ca="1" si="9"/>
        <v/>
      </c>
      <c r="X270" s="9"/>
      <c r="Y270" s="9"/>
      <c r="Z270" s="9"/>
      <c r="AA270" s="9"/>
      <c r="AB270" s="9"/>
      <c r="AC270" s="9"/>
      <c r="AD270" s="9"/>
    </row>
    <row r="271" spans="1:30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 t="str">
        <f t="shared" ca="1" si="8"/>
        <v/>
      </c>
      <c r="W271" s="9" t="str">
        <f t="shared" ca="1" si="9"/>
        <v/>
      </c>
      <c r="X271" s="9"/>
      <c r="Y271" s="9"/>
      <c r="Z271" s="9"/>
      <c r="AA271" s="9"/>
      <c r="AB271" s="9"/>
      <c r="AC271" s="9"/>
      <c r="AD271" s="9"/>
    </row>
    <row r="272" spans="1:30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 t="str">
        <f t="shared" ca="1" si="8"/>
        <v/>
      </c>
      <c r="W272" s="9" t="str">
        <f t="shared" ca="1" si="9"/>
        <v/>
      </c>
      <c r="X272" s="9"/>
      <c r="Y272" s="9"/>
      <c r="Z272" s="9"/>
      <c r="AA272" s="9"/>
      <c r="AB272" s="9"/>
      <c r="AC272" s="9"/>
      <c r="AD272" s="9"/>
    </row>
    <row r="273" spans="1:30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 t="str">
        <f t="shared" ca="1" si="8"/>
        <v/>
      </c>
      <c r="W273" s="9" t="str">
        <f t="shared" ca="1" si="9"/>
        <v/>
      </c>
      <c r="X273" s="9"/>
      <c r="Y273" s="9"/>
      <c r="Z273" s="9"/>
      <c r="AA273" s="9"/>
      <c r="AB273" s="9"/>
      <c r="AC273" s="9"/>
      <c r="AD273" s="9"/>
    </row>
    <row r="274" spans="1:30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 t="str">
        <f t="shared" ca="1" si="8"/>
        <v/>
      </c>
      <c r="W274" s="9" t="str">
        <f t="shared" ca="1" si="9"/>
        <v/>
      </c>
      <c r="X274" s="9"/>
      <c r="Y274" s="9"/>
      <c r="Z274" s="9"/>
      <c r="AA274" s="9"/>
      <c r="AB274" s="9"/>
      <c r="AC274" s="9"/>
      <c r="AD274" s="9"/>
    </row>
    <row r="275" spans="1:30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 t="str">
        <f t="shared" ca="1" si="8"/>
        <v/>
      </c>
      <c r="W275" s="9" t="str">
        <f t="shared" ca="1" si="9"/>
        <v/>
      </c>
      <c r="X275" s="9"/>
      <c r="Y275" s="9"/>
      <c r="Z275" s="9"/>
      <c r="AA275" s="9"/>
      <c r="AB275" s="9"/>
      <c r="AC275" s="9"/>
      <c r="AD275" s="9"/>
    </row>
    <row r="276" spans="1:30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 t="str">
        <f t="shared" ca="1" si="8"/>
        <v/>
      </c>
      <c r="W276" s="9" t="str">
        <f t="shared" ca="1" si="9"/>
        <v/>
      </c>
      <c r="X276" s="9"/>
      <c r="Y276" s="9"/>
      <c r="Z276" s="9"/>
      <c r="AA276" s="9"/>
      <c r="AB276" s="9"/>
      <c r="AC276" s="9"/>
      <c r="AD276" s="9"/>
    </row>
    <row r="277" spans="1:30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 t="str">
        <f t="shared" ca="1" si="8"/>
        <v/>
      </c>
      <c r="W277" s="9" t="str">
        <f t="shared" ca="1" si="9"/>
        <v/>
      </c>
      <c r="X277" s="9"/>
      <c r="Y277" s="9"/>
      <c r="Z277" s="9"/>
      <c r="AA277" s="9"/>
      <c r="AB277" s="9"/>
      <c r="AC277" s="9"/>
      <c r="AD277" s="9"/>
    </row>
    <row r="278" spans="1:30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 t="str">
        <f t="shared" ca="1" si="8"/>
        <v/>
      </c>
      <c r="W278" s="9" t="str">
        <f t="shared" ca="1" si="9"/>
        <v/>
      </c>
      <c r="X278" s="9"/>
      <c r="Y278" s="9"/>
      <c r="Z278" s="9"/>
      <c r="AA278" s="9"/>
      <c r="AB278" s="9"/>
      <c r="AC278" s="9"/>
      <c r="AD278" s="9"/>
    </row>
    <row r="279" spans="1:30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 t="str">
        <f t="shared" ca="1" si="8"/>
        <v/>
      </c>
      <c r="W279" s="9" t="str">
        <f t="shared" ca="1" si="9"/>
        <v/>
      </c>
      <c r="X279" s="9"/>
      <c r="Y279" s="9"/>
      <c r="Z279" s="9"/>
      <c r="AA279" s="9"/>
      <c r="AB279" s="9"/>
      <c r="AC279" s="9"/>
      <c r="AD279" s="9"/>
    </row>
    <row r="280" spans="1:30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 t="str">
        <f t="shared" ca="1" si="8"/>
        <v/>
      </c>
      <c r="W280" s="9" t="str">
        <f t="shared" ca="1" si="9"/>
        <v/>
      </c>
      <c r="X280" s="9"/>
      <c r="Y280" s="9"/>
      <c r="Z280" s="9"/>
      <c r="AA280" s="9"/>
      <c r="AB280" s="9"/>
      <c r="AC280" s="9"/>
      <c r="AD280" s="9"/>
    </row>
    <row r="281" spans="1:30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 t="str">
        <f t="shared" ca="1" si="8"/>
        <v/>
      </c>
      <c r="W281" s="9" t="str">
        <f t="shared" ca="1" si="9"/>
        <v/>
      </c>
      <c r="X281" s="9"/>
      <c r="Y281" s="9"/>
      <c r="Z281" s="9"/>
      <c r="AA281" s="9"/>
      <c r="AB281" s="9"/>
      <c r="AC281" s="9"/>
      <c r="AD281" s="9"/>
    </row>
    <row r="282" spans="1:30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 t="str">
        <f t="shared" ca="1" si="8"/>
        <v/>
      </c>
      <c r="W282" s="9" t="str">
        <f t="shared" ca="1" si="9"/>
        <v/>
      </c>
      <c r="X282" s="9"/>
      <c r="Y282" s="9"/>
      <c r="Z282" s="9"/>
      <c r="AA282" s="9"/>
      <c r="AB282" s="9"/>
      <c r="AC282" s="9"/>
      <c r="AD282" s="9"/>
    </row>
    <row r="283" spans="1:30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 t="str">
        <f t="shared" ca="1" si="8"/>
        <v/>
      </c>
      <c r="W283" s="9" t="str">
        <f t="shared" ca="1" si="9"/>
        <v/>
      </c>
      <c r="X283" s="9"/>
      <c r="Y283" s="9"/>
      <c r="Z283" s="9"/>
      <c r="AA283" s="9"/>
      <c r="AB283" s="9"/>
      <c r="AC283" s="9"/>
      <c r="AD283" s="9"/>
    </row>
    <row r="284" spans="1:30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 t="str">
        <f t="shared" ca="1" si="8"/>
        <v/>
      </c>
      <c r="W284" s="9" t="str">
        <f t="shared" ca="1" si="9"/>
        <v/>
      </c>
      <c r="X284" s="9"/>
      <c r="Y284" s="9"/>
      <c r="Z284" s="9"/>
      <c r="AA284" s="9"/>
      <c r="AB284" s="9"/>
      <c r="AC284" s="9"/>
      <c r="AD284" s="9"/>
    </row>
    <row r="285" spans="1:30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 t="str">
        <f t="shared" ca="1" si="8"/>
        <v/>
      </c>
      <c r="W285" s="9" t="str">
        <f t="shared" ca="1" si="9"/>
        <v/>
      </c>
      <c r="X285" s="9"/>
      <c r="Y285" s="9"/>
      <c r="Z285" s="9"/>
      <c r="AA285" s="9"/>
      <c r="AB285" s="9"/>
      <c r="AC285" s="9"/>
      <c r="AD285" s="9"/>
    </row>
    <row r="286" spans="1:30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 t="str">
        <f t="shared" ca="1" si="8"/>
        <v/>
      </c>
      <c r="W286" s="9" t="str">
        <f t="shared" ca="1" si="9"/>
        <v/>
      </c>
      <c r="X286" s="9"/>
      <c r="Y286" s="9"/>
      <c r="Z286" s="9"/>
      <c r="AA286" s="9"/>
      <c r="AB286" s="9"/>
      <c r="AC286" s="9"/>
      <c r="AD286" s="9"/>
    </row>
    <row r="287" spans="1:30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 t="str">
        <f t="shared" ca="1" si="8"/>
        <v/>
      </c>
      <c r="W287" s="9" t="str">
        <f t="shared" ca="1" si="9"/>
        <v/>
      </c>
      <c r="X287" s="9"/>
      <c r="Y287" s="9"/>
      <c r="Z287" s="9"/>
      <c r="AA287" s="9"/>
      <c r="AB287" s="9"/>
      <c r="AC287" s="9"/>
      <c r="AD287" s="9"/>
    </row>
    <row r="288" spans="1:30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 t="str">
        <f t="shared" ca="1" si="8"/>
        <v/>
      </c>
      <c r="W288" s="9" t="str">
        <f t="shared" ca="1" si="9"/>
        <v/>
      </c>
      <c r="X288" s="9"/>
      <c r="Y288" s="9"/>
      <c r="Z288" s="9"/>
      <c r="AA288" s="9"/>
      <c r="AB288" s="9"/>
      <c r="AC288" s="9"/>
      <c r="AD288" s="9"/>
    </row>
    <row r="289" spans="1:30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 t="str">
        <f t="shared" ca="1" si="8"/>
        <v/>
      </c>
      <c r="W289" s="9" t="str">
        <f t="shared" ca="1" si="9"/>
        <v/>
      </c>
      <c r="X289" s="9"/>
      <c r="Y289" s="9"/>
      <c r="Z289" s="9"/>
      <c r="AA289" s="9"/>
      <c r="AB289" s="9"/>
      <c r="AC289" s="9"/>
      <c r="AD289" s="9"/>
    </row>
    <row r="290" spans="1:30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 t="str">
        <f t="shared" ca="1" si="8"/>
        <v/>
      </c>
      <c r="W290" s="9" t="str">
        <f t="shared" ca="1" si="9"/>
        <v/>
      </c>
      <c r="X290" s="9"/>
      <c r="Y290" s="9"/>
      <c r="Z290" s="9"/>
      <c r="AA290" s="9"/>
      <c r="AB290" s="9"/>
      <c r="AC290" s="9"/>
      <c r="AD290" s="9"/>
    </row>
    <row r="291" spans="1:30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 t="str">
        <f t="shared" ca="1" si="8"/>
        <v/>
      </c>
      <c r="W291" s="9" t="str">
        <f t="shared" ca="1" si="9"/>
        <v/>
      </c>
      <c r="X291" s="9"/>
      <c r="Y291" s="9"/>
      <c r="Z291" s="9"/>
      <c r="AA291" s="9"/>
      <c r="AB291" s="9"/>
      <c r="AC291" s="9"/>
      <c r="AD291" s="9"/>
    </row>
    <row r="292" spans="1:30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 t="str">
        <f t="shared" ca="1" si="8"/>
        <v/>
      </c>
      <c r="W292" s="9" t="str">
        <f t="shared" ca="1" si="9"/>
        <v/>
      </c>
      <c r="X292" s="9"/>
      <c r="Y292" s="9"/>
      <c r="Z292" s="9"/>
      <c r="AA292" s="9"/>
      <c r="AB292" s="9"/>
      <c r="AC292" s="9"/>
      <c r="AD292" s="9"/>
    </row>
    <row r="293" spans="1:30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 t="str">
        <f t="shared" ca="1" si="8"/>
        <v/>
      </c>
      <c r="W293" s="9" t="str">
        <f t="shared" ca="1" si="9"/>
        <v/>
      </c>
      <c r="X293" s="9"/>
      <c r="Y293" s="9"/>
      <c r="Z293" s="9"/>
      <c r="AA293" s="9"/>
      <c r="AB293" s="9"/>
      <c r="AC293" s="9"/>
      <c r="AD293" s="9"/>
    </row>
    <row r="294" spans="1:30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 t="str">
        <f t="shared" ca="1" si="8"/>
        <v/>
      </c>
      <c r="W294" s="9" t="str">
        <f t="shared" ca="1" si="9"/>
        <v/>
      </c>
      <c r="X294" s="9"/>
      <c r="Y294" s="9"/>
      <c r="Z294" s="9"/>
      <c r="AA294" s="9"/>
      <c r="AB294" s="9"/>
      <c r="AC294" s="9"/>
      <c r="AD294" s="9"/>
    </row>
    <row r="295" spans="1:30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 t="str">
        <f t="shared" ca="1" si="8"/>
        <v/>
      </c>
      <c r="W295" s="9" t="str">
        <f t="shared" ca="1" si="9"/>
        <v/>
      </c>
      <c r="X295" s="9"/>
      <c r="Y295" s="9"/>
      <c r="Z295" s="9"/>
      <c r="AA295" s="9"/>
      <c r="AB295" s="9"/>
      <c r="AC295" s="9"/>
      <c r="AD295" s="9"/>
    </row>
    <row r="296" spans="1:30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 t="str">
        <f t="shared" ca="1" si="8"/>
        <v/>
      </c>
      <c r="W296" s="9" t="str">
        <f t="shared" ca="1" si="9"/>
        <v/>
      </c>
      <c r="X296" s="9"/>
      <c r="Y296" s="9"/>
      <c r="Z296" s="9"/>
      <c r="AA296" s="9"/>
      <c r="AB296" s="9"/>
      <c r="AC296" s="9"/>
      <c r="AD296" s="9"/>
    </row>
    <row r="297" spans="1:30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 t="str">
        <f t="shared" ca="1" si="8"/>
        <v/>
      </c>
      <c r="W297" s="9" t="str">
        <f t="shared" ca="1" si="9"/>
        <v/>
      </c>
      <c r="X297" s="9"/>
      <c r="Y297" s="9"/>
      <c r="Z297" s="9"/>
      <c r="AA297" s="9"/>
      <c r="AB297" s="9"/>
      <c r="AC297" s="9"/>
      <c r="AD297" s="9"/>
    </row>
    <row r="298" spans="1:30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 t="str">
        <f t="shared" ca="1" si="8"/>
        <v/>
      </c>
      <c r="W298" s="9" t="str">
        <f t="shared" ca="1" si="9"/>
        <v/>
      </c>
      <c r="X298" s="9"/>
      <c r="Y298" s="9"/>
      <c r="Z298" s="9"/>
      <c r="AA298" s="9"/>
      <c r="AB298" s="9"/>
      <c r="AC298" s="9"/>
      <c r="AD298" s="9"/>
    </row>
    <row r="299" spans="1:30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 t="str">
        <f t="shared" ca="1" si="8"/>
        <v/>
      </c>
      <c r="W299" s="9" t="str">
        <f t="shared" ca="1" si="9"/>
        <v/>
      </c>
      <c r="X299" s="9"/>
      <c r="Y299" s="9"/>
      <c r="Z299" s="9"/>
      <c r="AA299" s="9"/>
      <c r="AB299" s="9"/>
      <c r="AC299" s="9"/>
      <c r="AD299" s="9"/>
    </row>
    <row r="300" spans="1:30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 t="str">
        <f t="shared" ca="1" si="8"/>
        <v/>
      </c>
      <c r="W300" s="9" t="str">
        <f t="shared" ca="1" si="9"/>
        <v/>
      </c>
      <c r="X300" s="9"/>
      <c r="Y300" s="9"/>
      <c r="Z300" s="9"/>
      <c r="AA300" s="9"/>
      <c r="AB300" s="9"/>
      <c r="AC300" s="9"/>
      <c r="AD300" s="9"/>
    </row>
    <row r="301" spans="1:30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 t="str">
        <f t="shared" ca="1" si="8"/>
        <v/>
      </c>
      <c r="W301" s="9" t="str">
        <f t="shared" ca="1" si="9"/>
        <v/>
      </c>
      <c r="X301" s="9"/>
      <c r="Y301" s="9"/>
      <c r="Z301" s="9"/>
      <c r="AA301" s="9"/>
      <c r="AB301" s="9"/>
      <c r="AC301" s="9"/>
      <c r="AD301" s="9"/>
    </row>
    <row r="302" spans="1:30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 t="str">
        <f t="shared" ca="1" si="8"/>
        <v/>
      </c>
      <c r="W302" s="9" t="str">
        <f t="shared" ca="1" si="9"/>
        <v/>
      </c>
      <c r="X302" s="9"/>
      <c r="Y302" s="9"/>
      <c r="Z302" s="9"/>
      <c r="AA302" s="9"/>
      <c r="AB302" s="9"/>
      <c r="AC302" s="9"/>
      <c r="AD302" s="9"/>
    </row>
    <row r="303" spans="1:30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 t="str">
        <f t="shared" ca="1" si="8"/>
        <v/>
      </c>
      <c r="W303" s="9" t="str">
        <f t="shared" ca="1" si="9"/>
        <v/>
      </c>
      <c r="X303" s="9"/>
      <c r="Y303" s="9"/>
      <c r="Z303" s="9"/>
      <c r="AA303" s="9"/>
      <c r="AB303" s="9"/>
      <c r="AC303" s="9"/>
      <c r="AD303" s="9"/>
    </row>
    <row r="304" spans="1:30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 t="str">
        <f t="shared" ca="1" si="8"/>
        <v/>
      </c>
      <c r="W304" s="9" t="str">
        <f t="shared" ca="1" si="9"/>
        <v/>
      </c>
      <c r="X304" s="9"/>
      <c r="Y304" s="9"/>
      <c r="Z304" s="9"/>
      <c r="AA304" s="9"/>
      <c r="AB304" s="9"/>
      <c r="AC304" s="9"/>
      <c r="AD304" s="9"/>
    </row>
    <row r="305" spans="1:30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 t="str">
        <f t="shared" ca="1" si="8"/>
        <v/>
      </c>
      <c r="W305" s="9" t="str">
        <f t="shared" ca="1" si="9"/>
        <v/>
      </c>
      <c r="X305" s="9"/>
      <c r="Y305" s="9"/>
      <c r="Z305" s="9"/>
      <c r="AA305" s="9"/>
      <c r="AB305" s="9"/>
      <c r="AC305" s="9"/>
      <c r="AD305" s="9"/>
    </row>
    <row r="306" spans="1:30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 t="str">
        <f t="shared" ca="1" si="8"/>
        <v/>
      </c>
      <c r="W306" s="9" t="str">
        <f t="shared" ca="1" si="9"/>
        <v/>
      </c>
      <c r="X306" s="9"/>
      <c r="Y306" s="9"/>
      <c r="Z306" s="9"/>
      <c r="AA306" s="9"/>
      <c r="AB306" s="9"/>
      <c r="AC306" s="9"/>
      <c r="AD306" s="9"/>
    </row>
    <row r="307" spans="1:30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 t="str">
        <f t="shared" ca="1" si="8"/>
        <v/>
      </c>
      <c r="W307" s="9" t="str">
        <f t="shared" ca="1" si="9"/>
        <v/>
      </c>
      <c r="X307" s="9"/>
      <c r="Y307" s="9"/>
      <c r="Z307" s="9"/>
      <c r="AA307" s="9"/>
      <c r="AB307" s="9"/>
      <c r="AC307" s="9"/>
      <c r="AD307" s="9"/>
    </row>
    <row r="308" spans="1:30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 t="str">
        <f t="shared" ca="1" si="8"/>
        <v/>
      </c>
      <c r="W308" s="9" t="str">
        <f t="shared" ca="1" si="9"/>
        <v/>
      </c>
      <c r="X308" s="9"/>
      <c r="Y308" s="9"/>
      <c r="Z308" s="9"/>
      <c r="AA308" s="9"/>
      <c r="AB308" s="9"/>
      <c r="AC308" s="9"/>
      <c r="AD308" s="9"/>
    </row>
    <row r="309" spans="1:30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 t="str">
        <f t="shared" ca="1" si="8"/>
        <v/>
      </c>
      <c r="W309" s="9" t="str">
        <f t="shared" ca="1" si="9"/>
        <v/>
      </c>
      <c r="X309" s="9"/>
      <c r="Y309" s="9"/>
      <c r="Z309" s="9"/>
      <c r="AA309" s="9"/>
      <c r="AB309" s="9"/>
      <c r="AC309" s="9"/>
      <c r="AD309" s="9"/>
    </row>
    <row r="310" spans="1:30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 t="str">
        <f t="shared" ca="1" si="8"/>
        <v/>
      </c>
      <c r="W310" s="9" t="str">
        <f t="shared" ca="1" si="9"/>
        <v/>
      </c>
      <c r="X310" s="9"/>
      <c r="Y310" s="9"/>
      <c r="Z310" s="9"/>
      <c r="AA310" s="9"/>
      <c r="AB310" s="9"/>
      <c r="AC310" s="9"/>
      <c r="AD310" s="9"/>
    </row>
    <row r="311" spans="1:30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 t="str">
        <f t="shared" ca="1" si="8"/>
        <v/>
      </c>
      <c r="W311" s="9" t="str">
        <f t="shared" ca="1" si="9"/>
        <v/>
      </c>
      <c r="X311" s="9"/>
      <c r="Y311" s="9"/>
      <c r="Z311" s="9"/>
      <c r="AA311" s="9"/>
      <c r="AB311" s="9"/>
      <c r="AC311" s="9"/>
      <c r="AD311" s="9"/>
    </row>
    <row r="312" spans="1:30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 t="str">
        <f t="shared" ca="1" si="8"/>
        <v/>
      </c>
      <c r="W312" s="9" t="str">
        <f t="shared" ca="1" si="9"/>
        <v/>
      </c>
      <c r="X312" s="9"/>
      <c r="Y312" s="9"/>
      <c r="Z312" s="9"/>
      <c r="AA312" s="9"/>
      <c r="AB312" s="9"/>
      <c r="AC312" s="9"/>
      <c r="AD312" s="9"/>
    </row>
    <row r="313" spans="1:30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 t="str">
        <f t="shared" ca="1" si="8"/>
        <v/>
      </c>
      <c r="W313" s="9" t="str">
        <f t="shared" ca="1" si="9"/>
        <v/>
      </c>
      <c r="X313" s="9"/>
      <c r="Y313" s="9"/>
      <c r="Z313" s="9"/>
      <c r="AA313" s="9"/>
      <c r="AB313" s="9"/>
      <c r="AC313" s="9"/>
      <c r="AD313" s="9"/>
    </row>
    <row r="314" spans="1:30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 t="str">
        <f t="shared" ca="1" si="8"/>
        <v/>
      </c>
      <c r="W314" s="9" t="str">
        <f t="shared" ca="1" si="9"/>
        <v/>
      </c>
      <c r="X314" s="9"/>
      <c r="Y314" s="9"/>
      <c r="Z314" s="9"/>
      <c r="AA314" s="9"/>
      <c r="AB314" s="9"/>
      <c r="AC314" s="9"/>
      <c r="AD314" s="9"/>
    </row>
    <row r="315" spans="1:30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 t="str">
        <f t="shared" ca="1" si="8"/>
        <v/>
      </c>
      <c r="W315" s="9" t="str">
        <f t="shared" ca="1" si="9"/>
        <v/>
      </c>
      <c r="X315" s="9"/>
      <c r="Y315" s="9"/>
      <c r="Z315" s="9"/>
      <c r="AA315" s="9"/>
      <c r="AB315" s="9"/>
      <c r="AC315" s="9"/>
      <c r="AD315" s="9"/>
    </row>
    <row r="316" spans="1:30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 t="str">
        <f t="shared" ca="1" si="8"/>
        <v/>
      </c>
      <c r="W316" s="9" t="str">
        <f t="shared" ca="1" si="9"/>
        <v/>
      </c>
      <c r="X316" s="9"/>
      <c r="Y316" s="9"/>
      <c r="Z316" s="9"/>
      <c r="AA316" s="9"/>
      <c r="AB316" s="9"/>
      <c r="AC316" s="9"/>
      <c r="AD316" s="9"/>
    </row>
    <row r="317" spans="1:30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 t="str">
        <f t="shared" ca="1" si="8"/>
        <v/>
      </c>
      <c r="W317" s="9" t="str">
        <f t="shared" ca="1" si="9"/>
        <v/>
      </c>
      <c r="X317" s="9"/>
      <c r="Y317" s="9"/>
      <c r="Z317" s="9"/>
      <c r="AA317" s="9"/>
      <c r="AB317" s="9"/>
      <c r="AC317" s="9"/>
      <c r="AD317" s="9"/>
    </row>
    <row r="318" spans="1:30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 t="str">
        <f t="shared" ca="1" si="8"/>
        <v/>
      </c>
      <c r="W318" s="9" t="str">
        <f t="shared" ca="1" si="9"/>
        <v/>
      </c>
      <c r="X318" s="9"/>
      <c r="Y318" s="9"/>
      <c r="Z318" s="9"/>
      <c r="AA318" s="9"/>
      <c r="AB318" s="9"/>
      <c r="AC318" s="9"/>
      <c r="AD318" s="9"/>
    </row>
    <row r="319" spans="1:30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 t="str">
        <f t="shared" ca="1" si="8"/>
        <v/>
      </c>
      <c r="W319" s="9" t="str">
        <f t="shared" ca="1" si="9"/>
        <v/>
      </c>
      <c r="X319" s="9"/>
      <c r="Y319" s="9"/>
      <c r="Z319" s="9"/>
      <c r="AA319" s="9"/>
      <c r="AB319" s="9"/>
      <c r="AC319" s="9"/>
      <c r="AD319" s="9"/>
    </row>
    <row r="320" spans="1:30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 t="str">
        <f t="shared" ca="1" si="8"/>
        <v/>
      </c>
      <c r="W320" s="9" t="str">
        <f t="shared" ca="1" si="9"/>
        <v/>
      </c>
      <c r="X320" s="9"/>
      <c r="Y320" s="9"/>
      <c r="Z320" s="9"/>
      <c r="AA320" s="9"/>
      <c r="AB320" s="9"/>
      <c r="AC320" s="9"/>
      <c r="AD320" s="9"/>
    </row>
    <row r="321" spans="1:30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 t="str">
        <f t="shared" ca="1" si="8"/>
        <v/>
      </c>
      <c r="W321" s="9" t="str">
        <f t="shared" ca="1" si="9"/>
        <v/>
      </c>
      <c r="X321" s="9"/>
      <c r="Y321" s="9"/>
      <c r="Z321" s="9"/>
      <c r="AA321" s="9"/>
      <c r="AB321" s="9"/>
      <c r="AC321" s="9"/>
      <c r="AD321" s="9"/>
    </row>
    <row r="322" spans="1:30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 t="str">
        <f t="shared" ca="1" si="8"/>
        <v/>
      </c>
      <c r="W322" s="9" t="str">
        <f t="shared" ca="1" si="9"/>
        <v/>
      </c>
      <c r="X322" s="9"/>
      <c r="Y322" s="9"/>
      <c r="Z322" s="9"/>
      <c r="AA322" s="9"/>
      <c r="AB322" s="9"/>
      <c r="AC322" s="9"/>
      <c r="AD322" s="9"/>
    </row>
    <row r="323" spans="1:30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 t="str">
        <f t="shared" ref="V323:V386" ca="1" si="10">IF(T323="","",T323-TODAY())</f>
        <v/>
      </c>
      <c r="W323" s="9" t="str">
        <f t="shared" ref="W323:W386" ca="1" si="11">IF(T323="","",IF(T323&lt;TODAY(),"PAST EOS — UNSUPPORTED",IF(T323-TODAY()&lt;=365,"EOS within 12 months","Supported")))</f>
        <v/>
      </c>
      <c r="X323" s="9"/>
      <c r="Y323" s="9"/>
      <c r="Z323" s="9"/>
      <c r="AA323" s="9"/>
      <c r="AB323" s="9"/>
      <c r="AC323" s="9"/>
      <c r="AD323" s="9"/>
    </row>
    <row r="324" spans="1:30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 t="str">
        <f t="shared" ca="1" si="10"/>
        <v/>
      </c>
      <c r="W324" s="9" t="str">
        <f t="shared" ca="1" si="11"/>
        <v/>
      </c>
      <c r="X324" s="9"/>
      <c r="Y324" s="9"/>
      <c r="Z324" s="9"/>
      <c r="AA324" s="9"/>
      <c r="AB324" s="9"/>
      <c r="AC324" s="9"/>
      <c r="AD324" s="9"/>
    </row>
    <row r="325" spans="1:30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 t="str">
        <f t="shared" ca="1" si="10"/>
        <v/>
      </c>
      <c r="W325" s="9" t="str">
        <f t="shared" ca="1" si="11"/>
        <v/>
      </c>
      <c r="X325" s="9"/>
      <c r="Y325" s="9"/>
      <c r="Z325" s="9"/>
      <c r="AA325" s="9"/>
      <c r="AB325" s="9"/>
      <c r="AC325" s="9"/>
      <c r="AD325" s="9"/>
    </row>
    <row r="326" spans="1:30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 t="str">
        <f t="shared" ca="1" si="10"/>
        <v/>
      </c>
      <c r="W326" s="9" t="str">
        <f t="shared" ca="1" si="11"/>
        <v/>
      </c>
      <c r="X326" s="9"/>
      <c r="Y326" s="9"/>
      <c r="Z326" s="9"/>
      <c r="AA326" s="9"/>
      <c r="AB326" s="9"/>
      <c r="AC326" s="9"/>
      <c r="AD326" s="9"/>
    </row>
    <row r="327" spans="1:30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 t="str">
        <f t="shared" ca="1" si="10"/>
        <v/>
      </c>
      <c r="W327" s="9" t="str">
        <f t="shared" ca="1" si="11"/>
        <v/>
      </c>
      <c r="X327" s="9"/>
      <c r="Y327" s="9"/>
      <c r="Z327" s="9"/>
      <c r="AA327" s="9"/>
      <c r="AB327" s="9"/>
      <c r="AC327" s="9"/>
      <c r="AD327" s="9"/>
    </row>
    <row r="328" spans="1:30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 t="str">
        <f t="shared" ca="1" si="10"/>
        <v/>
      </c>
      <c r="W328" s="9" t="str">
        <f t="shared" ca="1" si="11"/>
        <v/>
      </c>
      <c r="X328" s="9"/>
      <c r="Y328" s="9"/>
      <c r="Z328" s="9"/>
      <c r="AA328" s="9"/>
      <c r="AB328" s="9"/>
      <c r="AC328" s="9"/>
      <c r="AD328" s="9"/>
    </row>
    <row r="329" spans="1:30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 t="str">
        <f t="shared" ca="1" si="10"/>
        <v/>
      </c>
      <c r="W329" s="9" t="str">
        <f t="shared" ca="1" si="11"/>
        <v/>
      </c>
      <c r="X329" s="9"/>
      <c r="Y329" s="9"/>
      <c r="Z329" s="9"/>
      <c r="AA329" s="9"/>
      <c r="AB329" s="9"/>
      <c r="AC329" s="9"/>
      <c r="AD329" s="9"/>
    </row>
    <row r="330" spans="1:30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 t="str">
        <f t="shared" ca="1" si="10"/>
        <v/>
      </c>
      <c r="W330" s="9" t="str">
        <f t="shared" ca="1" si="11"/>
        <v/>
      </c>
      <c r="X330" s="9"/>
      <c r="Y330" s="9"/>
      <c r="Z330" s="9"/>
      <c r="AA330" s="9"/>
      <c r="AB330" s="9"/>
      <c r="AC330" s="9"/>
      <c r="AD330" s="9"/>
    </row>
    <row r="331" spans="1:30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 t="str">
        <f t="shared" ca="1" si="10"/>
        <v/>
      </c>
      <c r="W331" s="9" t="str">
        <f t="shared" ca="1" si="11"/>
        <v/>
      </c>
      <c r="X331" s="9"/>
      <c r="Y331" s="9"/>
      <c r="Z331" s="9"/>
      <c r="AA331" s="9"/>
      <c r="AB331" s="9"/>
      <c r="AC331" s="9"/>
      <c r="AD331" s="9"/>
    </row>
    <row r="332" spans="1:30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 t="str">
        <f t="shared" ca="1" si="10"/>
        <v/>
      </c>
      <c r="W332" s="9" t="str">
        <f t="shared" ca="1" si="11"/>
        <v/>
      </c>
      <c r="X332" s="9"/>
      <c r="Y332" s="9"/>
      <c r="Z332" s="9"/>
      <c r="AA332" s="9"/>
      <c r="AB332" s="9"/>
      <c r="AC332" s="9"/>
      <c r="AD332" s="9"/>
    </row>
    <row r="333" spans="1:30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 t="str">
        <f t="shared" ca="1" si="10"/>
        <v/>
      </c>
      <c r="W333" s="9" t="str">
        <f t="shared" ca="1" si="11"/>
        <v/>
      </c>
      <c r="X333" s="9"/>
      <c r="Y333" s="9"/>
      <c r="Z333" s="9"/>
      <c r="AA333" s="9"/>
      <c r="AB333" s="9"/>
      <c r="AC333" s="9"/>
      <c r="AD333" s="9"/>
    </row>
    <row r="334" spans="1:30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 t="str">
        <f t="shared" ca="1" si="10"/>
        <v/>
      </c>
      <c r="W334" s="9" t="str">
        <f t="shared" ca="1" si="11"/>
        <v/>
      </c>
      <c r="X334" s="9"/>
      <c r="Y334" s="9"/>
      <c r="Z334" s="9"/>
      <c r="AA334" s="9"/>
      <c r="AB334" s="9"/>
      <c r="AC334" s="9"/>
      <c r="AD334" s="9"/>
    </row>
    <row r="335" spans="1:30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 t="str">
        <f t="shared" ca="1" si="10"/>
        <v/>
      </c>
      <c r="W335" s="9" t="str">
        <f t="shared" ca="1" si="11"/>
        <v/>
      </c>
      <c r="X335" s="9"/>
      <c r="Y335" s="9"/>
      <c r="Z335" s="9"/>
      <c r="AA335" s="9"/>
      <c r="AB335" s="9"/>
      <c r="AC335" s="9"/>
      <c r="AD335" s="9"/>
    </row>
    <row r="336" spans="1:30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 t="str">
        <f t="shared" ca="1" si="10"/>
        <v/>
      </c>
      <c r="W336" s="9" t="str">
        <f t="shared" ca="1" si="11"/>
        <v/>
      </c>
      <c r="X336" s="9"/>
      <c r="Y336" s="9"/>
      <c r="Z336" s="9"/>
      <c r="AA336" s="9"/>
      <c r="AB336" s="9"/>
      <c r="AC336" s="9"/>
      <c r="AD336" s="9"/>
    </row>
    <row r="337" spans="1:30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 t="str">
        <f t="shared" ca="1" si="10"/>
        <v/>
      </c>
      <c r="W337" s="9" t="str">
        <f t="shared" ca="1" si="11"/>
        <v/>
      </c>
      <c r="X337" s="9"/>
      <c r="Y337" s="9"/>
      <c r="Z337" s="9"/>
      <c r="AA337" s="9"/>
      <c r="AB337" s="9"/>
      <c r="AC337" s="9"/>
      <c r="AD337" s="9"/>
    </row>
    <row r="338" spans="1:30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 t="str">
        <f t="shared" ca="1" si="10"/>
        <v/>
      </c>
      <c r="W338" s="9" t="str">
        <f t="shared" ca="1" si="11"/>
        <v/>
      </c>
      <c r="X338" s="9"/>
      <c r="Y338" s="9"/>
      <c r="Z338" s="9"/>
      <c r="AA338" s="9"/>
      <c r="AB338" s="9"/>
      <c r="AC338" s="9"/>
      <c r="AD338" s="9"/>
    </row>
    <row r="339" spans="1:30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 t="str">
        <f t="shared" ca="1" si="10"/>
        <v/>
      </c>
      <c r="W339" s="9" t="str">
        <f t="shared" ca="1" si="11"/>
        <v/>
      </c>
      <c r="X339" s="9"/>
      <c r="Y339" s="9"/>
      <c r="Z339" s="9"/>
      <c r="AA339" s="9"/>
      <c r="AB339" s="9"/>
      <c r="AC339" s="9"/>
      <c r="AD339" s="9"/>
    </row>
    <row r="340" spans="1:30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 t="str">
        <f t="shared" ca="1" si="10"/>
        <v/>
      </c>
      <c r="W340" s="9" t="str">
        <f t="shared" ca="1" si="11"/>
        <v/>
      </c>
      <c r="X340" s="9"/>
      <c r="Y340" s="9"/>
      <c r="Z340" s="9"/>
      <c r="AA340" s="9"/>
      <c r="AB340" s="9"/>
      <c r="AC340" s="9"/>
      <c r="AD340" s="9"/>
    </row>
    <row r="341" spans="1:30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 t="str">
        <f t="shared" ca="1" si="10"/>
        <v/>
      </c>
      <c r="W341" s="9" t="str">
        <f t="shared" ca="1" si="11"/>
        <v/>
      </c>
      <c r="X341" s="9"/>
      <c r="Y341" s="9"/>
      <c r="Z341" s="9"/>
      <c r="AA341" s="9"/>
      <c r="AB341" s="9"/>
      <c r="AC341" s="9"/>
      <c r="AD341" s="9"/>
    </row>
    <row r="342" spans="1:30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 t="str">
        <f t="shared" ca="1" si="10"/>
        <v/>
      </c>
      <c r="W342" s="9" t="str">
        <f t="shared" ca="1" si="11"/>
        <v/>
      </c>
      <c r="X342" s="9"/>
      <c r="Y342" s="9"/>
      <c r="Z342" s="9"/>
      <c r="AA342" s="9"/>
      <c r="AB342" s="9"/>
      <c r="AC342" s="9"/>
      <c r="AD342" s="9"/>
    </row>
    <row r="343" spans="1:30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 t="str">
        <f t="shared" ca="1" si="10"/>
        <v/>
      </c>
      <c r="W343" s="9" t="str">
        <f t="shared" ca="1" si="11"/>
        <v/>
      </c>
      <c r="X343" s="9"/>
      <c r="Y343" s="9"/>
      <c r="Z343" s="9"/>
      <c r="AA343" s="9"/>
      <c r="AB343" s="9"/>
      <c r="AC343" s="9"/>
      <c r="AD343" s="9"/>
    </row>
    <row r="344" spans="1:30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 t="str">
        <f t="shared" ca="1" si="10"/>
        <v/>
      </c>
      <c r="W344" s="9" t="str">
        <f t="shared" ca="1" si="11"/>
        <v/>
      </c>
      <c r="X344" s="9"/>
      <c r="Y344" s="9"/>
      <c r="Z344" s="9"/>
      <c r="AA344" s="9"/>
      <c r="AB344" s="9"/>
      <c r="AC344" s="9"/>
      <c r="AD344" s="9"/>
    </row>
    <row r="345" spans="1:30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 t="str">
        <f t="shared" ca="1" si="10"/>
        <v/>
      </c>
      <c r="W345" s="9" t="str">
        <f t="shared" ca="1" si="11"/>
        <v/>
      </c>
      <c r="X345" s="9"/>
      <c r="Y345" s="9"/>
      <c r="Z345" s="9"/>
      <c r="AA345" s="9"/>
      <c r="AB345" s="9"/>
      <c r="AC345" s="9"/>
      <c r="AD345" s="9"/>
    </row>
    <row r="346" spans="1:30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 t="str">
        <f t="shared" ca="1" si="10"/>
        <v/>
      </c>
      <c r="W346" s="9" t="str">
        <f t="shared" ca="1" si="11"/>
        <v/>
      </c>
      <c r="X346" s="9"/>
      <c r="Y346" s="9"/>
      <c r="Z346" s="9"/>
      <c r="AA346" s="9"/>
      <c r="AB346" s="9"/>
      <c r="AC346" s="9"/>
      <c r="AD346" s="9"/>
    </row>
    <row r="347" spans="1:30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 t="str">
        <f t="shared" ca="1" si="10"/>
        <v/>
      </c>
      <c r="W347" s="9" t="str">
        <f t="shared" ca="1" si="11"/>
        <v/>
      </c>
      <c r="X347" s="9"/>
      <c r="Y347" s="9"/>
      <c r="Z347" s="9"/>
      <c r="AA347" s="9"/>
      <c r="AB347" s="9"/>
      <c r="AC347" s="9"/>
      <c r="AD347" s="9"/>
    </row>
    <row r="348" spans="1:30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 t="str">
        <f t="shared" ca="1" si="10"/>
        <v/>
      </c>
      <c r="W348" s="9" t="str">
        <f t="shared" ca="1" si="11"/>
        <v/>
      </c>
      <c r="X348" s="9"/>
      <c r="Y348" s="9"/>
      <c r="Z348" s="9"/>
      <c r="AA348" s="9"/>
      <c r="AB348" s="9"/>
      <c r="AC348" s="9"/>
      <c r="AD348" s="9"/>
    </row>
    <row r="349" spans="1:30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 t="str">
        <f t="shared" ca="1" si="10"/>
        <v/>
      </c>
      <c r="W349" s="9" t="str">
        <f t="shared" ca="1" si="11"/>
        <v/>
      </c>
      <c r="X349" s="9"/>
      <c r="Y349" s="9"/>
      <c r="Z349" s="9"/>
      <c r="AA349" s="9"/>
      <c r="AB349" s="9"/>
      <c r="AC349" s="9"/>
      <c r="AD349" s="9"/>
    </row>
    <row r="350" spans="1:30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 t="str">
        <f t="shared" ca="1" si="10"/>
        <v/>
      </c>
      <c r="W350" s="9" t="str">
        <f t="shared" ca="1" si="11"/>
        <v/>
      </c>
      <c r="X350" s="9"/>
      <c r="Y350" s="9"/>
      <c r="Z350" s="9"/>
      <c r="AA350" s="9"/>
      <c r="AB350" s="9"/>
      <c r="AC350" s="9"/>
      <c r="AD350" s="9"/>
    </row>
    <row r="351" spans="1:30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 t="str">
        <f t="shared" ca="1" si="10"/>
        <v/>
      </c>
      <c r="W351" s="9" t="str">
        <f t="shared" ca="1" si="11"/>
        <v/>
      </c>
      <c r="X351" s="9"/>
      <c r="Y351" s="9"/>
      <c r="Z351" s="9"/>
      <c r="AA351" s="9"/>
      <c r="AB351" s="9"/>
      <c r="AC351" s="9"/>
      <c r="AD351" s="9"/>
    </row>
    <row r="352" spans="1:30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 t="str">
        <f t="shared" ca="1" si="10"/>
        <v/>
      </c>
      <c r="W352" s="9" t="str">
        <f t="shared" ca="1" si="11"/>
        <v/>
      </c>
      <c r="X352" s="9"/>
      <c r="Y352" s="9"/>
      <c r="Z352" s="9"/>
      <c r="AA352" s="9"/>
      <c r="AB352" s="9"/>
      <c r="AC352" s="9"/>
      <c r="AD352" s="9"/>
    </row>
    <row r="353" spans="1:30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 t="str">
        <f t="shared" ca="1" si="10"/>
        <v/>
      </c>
      <c r="W353" s="9" t="str">
        <f t="shared" ca="1" si="11"/>
        <v/>
      </c>
      <c r="X353" s="9"/>
      <c r="Y353" s="9"/>
      <c r="Z353" s="9"/>
      <c r="AA353" s="9"/>
      <c r="AB353" s="9"/>
      <c r="AC353" s="9"/>
      <c r="AD353" s="9"/>
    </row>
    <row r="354" spans="1:30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 t="str">
        <f t="shared" ca="1" si="10"/>
        <v/>
      </c>
      <c r="W354" s="9" t="str">
        <f t="shared" ca="1" si="11"/>
        <v/>
      </c>
      <c r="X354" s="9"/>
      <c r="Y354" s="9"/>
      <c r="Z354" s="9"/>
      <c r="AA354" s="9"/>
      <c r="AB354" s="9"/>
      <c r="AC354" s="9"/>
      <c r="AD354" s="9"/>
    </row>
    <row r="355" spans="1:30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 t="str">
        <f t="shared" ca="1" si="10"/>
        <v/>
      </c>
      <c r="W355" s="9" t="str">
        <f t="shared" ca="1" si="11"/>
        <v/>
      </c>
      <c r="X355" s="9"/>
      <c r="Y355" s="9"/>
      <c r="Z355" s="9"/>
      <c r="AA355" s="9"/>
      <c r="AB355" s="9"/>
      <c r="AC355" s="9"/>
      <c r="AD355" s="9"/>
    </row>
    <row r="356" spans="1:30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 t="str">
        <f t="shared" ca="1" si="10"/>
        <v/>
      </c>
      <c r="W356" s="9" t="str">
        <f t="shared" ca="1" si="11"/>
        <v/>
      </c>
      <c r="X356" s="9"/>
      <c r="Y356" s="9"/>
      <c r="Z356" s="9"/>
      <c r="AA356" s="9"/>
      <c r="AB356" s="9"/>
      <c r="AC356" s="9"/>
      <c r="AD356" s="9"/>
    </row>
    <row r="357" spans="1:30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 t="str">
        <f t="shared" ca="1" si="10"/>
        <v/>
      </c>
      <c r="W357" s="9" t="str">
        <f t="shared" ca="1" si="11"/>
        <v/>
      </c>
      <c r="X357" s="9"/>
      <c r="Y357" s="9"/>
      <c r="Z357" s="9"/>
      <c r="AA357" s="9"/>
      <c r="AB357" s="9"/>
      <c r="AC357" s="9"/>
      <c r="AD357" s="9"/>
    </row>
    <row r="358" spans="1:30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 t="str">
        <f t="shared" ca="1" si="10"/>
        <v/>
      </c>
      <c r="W358" s="9" t="str">
        <f t="shared" ca="1" si="11"/>
        <v/>
      </c>
      <c r="X358" s="9"/>
      <c r="Y358" s="9"/>
      <c r="Z358" s="9"/>
      <c r="AA358" s="9"/>
      <c r="AB358" s="9"/>
      <c r="AC358" s="9"/>
      <c r="AD358" s="9"/>
    </row>
    <row r="359" spans="1:30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 t="str">
        <f t="shared" ca="1" si="10"/>
        <v/>
      </c>
      <c r="W359" s="9" t="str">
        <f t="shared" ca="1" si="11"/>
        <v/>
      </c>
      <c r="X359" s="9"/>
      <c r="Y359" s="9"/>
      <c r="Z359" s="9"/>
      <c r="AA359" s="9"/>
      <c r="AB359" s="9"/>
      <c r="AC359" s="9"/>
      <c r="AD359" s="9"/>
    </row>
    <row r="360" spans="1:30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 t="str">
        <f t="shared" ca="1" si="10"/>
        <v/>
      </c>
      <c r="W360" s="9" t="str">
        <f t="shared" ca="1" si="11"/>
        <v/>
      </c>
      <c r="X360" s="9"/>
      <c r="Y360" s="9"/>
      <c r="Z360" s="9"/>
      <c r="AA360" s="9"/>
      <c r="AB360" s="9"/>
      <c r="AC360" s="9"/>
      <c r="AD360" s="9"/>
    </row>
    <row r="361" spans="1:30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 t="str">
        <f t="shared" ca="1" si="10"/>
        <v/>
      </c>
      <c r="W361" s="9" t="str">
        <f t="shared" ca="1" si="11"/>
        <v/>
      </c>
      <c r="X361" s="9"/>
      <c r="Y361" s="9"/>
      <c r="Z361" s="9"/>
      <c r="AA361" s="9"/>
      <c r="AB361" s="9"/>
      <c r="AC361" s="9"/>
      <c r="AD361" s="9"/>
    </row>
    <row r="362" spans="1:30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 t="str">
        <f t="shared" ca="1" si="10"/>
        <v/>
      </c>
      <c r="W362" s="9" t="str">
        <f t="shared" ca="1" si="11"/>
        <v/>
      </c>
      <c r="X362" s="9"/>
      <c r="Y362" s="9"/>
      <c r="Z362" s="9"/>
      <c r="AA362" s="9"/>
      <c r="AB362" s="9"/>
      <c r="AC362" s="9"/>
      <c r="AD362" s="9"/>
    </row>
    <row r="363" spans="1:30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 t="str">
        <f t="shared" ca="1" si="10"/>
        <v/>
      </c>
      <c r="W363" s="9" t="str">
        <f t="shared" ca="1" si="11"/>
        <v/>
      </c>
      <c r="X363" s="9"/>
      <c r="Y363" s="9"/>
      <c r="Z363" s="9"/>
      <c r="AA363" s="9"/>
      <c r="AB363" s="9"/>
      <c r="AC363" s="9"/>
      <c r="AD363" s="9"/>
    </row>
    <row r="364" spans="1:30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 t="str">
        <f t="shared" ca="1" si="10"/>
        <v/>
      </c>
      <c r="W364" s="9" t="str">
        <f t="shared" ca="1" si="11"/>
        <v/>
      </c>
      <c r="X364" s="9"/>
      <c r="Y364" s="9"/>
      <c r="Z364" s="9"/>
      <c r="AA364" s="9"/>
      <c r="AB364" s="9"/>
      <c r="AC364" s="9"/>
      <c r="AD364" s="9"/>
    </row>
    <row r="365" spans="1:30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 t="str">
        <f t="shared" ca="1" si="10"/>
        <v/>
      </c>
      <c r="W365" s="9" t="str">
        <f t="shared" ca="1" si="11"/>
        <v/>
      </c>
      <c r="X365" s="9"/>
      <c r="Y365" s="9"/>
      <c r="Z365" s="9"/>
      <c r="AA365" s="9"/>
      <c r="AB365" s="9"/>
      <c r="AC365" s="9"/>
      <c r="AD365" s="9"/>
    </row>
    <row r="366" spans="1:30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 t="str">
        <f t="shared" ca="1" si="10"/>
        <v/>
      </c>
      <c r="W366" s="9" t="str">
        <f t="shared" ca="1" si="11"/>
        <v/>
      </c>
      <c r="X366" s="9"/>
      <c r="Y366" s="9"/>
      <c r="Z366" s="9"/>
      <c r="AA366" s="9"/>
      <c r="AB366" s="9"/>
      <c r="AC366" s="9"/>
      <c r="AD366" s="9"/>
    </row>
    <row r="367" spans="1:30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 t="str">
        <f t="shared" ca="1" si="10"/>
        <v/>
      </c>
      <c r="W367" s="9" t="str">
        <f t="shared" ca="1" si="11"/>
        <v/>
      </c>
      <c r="X367" s="9"/>
      <c r="Y367" s="9"/>
      <c r="Z367" s="9"/>
      <c r="AA367" s="9"/>
      <c r="AB367" s="9"/>
      <c r="AC367" s="9"/>
      <c r="AD367" s="9"/>
    </row>
    <row r="368" spans="1:30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 t="str">
        <f t="shared" ca="1" si="10"/>
        <v/>
      </c>
      <c r="W368" s="9" t="str">
        <f t="shared" ca="1" si="11"/>
        <v/>
      </c>
      <c r="X368" s="9"/>
      <c r="Y368" s="9"/>
      <c r="Z368" s="9"/>
      <c r="AA368" s="9"/>
      <c r="AB368" s="9"/>
      <c r="AC368" s="9"/>
      <c r="AD368" s="9"/>
    </row>
    <row r="369" spans="1:30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 t="str">
        <f t="shared" ca="1" si="10"/>
        <v/>
      </c>
      <c r="W369" s="9" t="str">
        <f t="shared" ca="1" si="11"/>
        <v/>
      </c>
      <c r="X369" s="9"/>
      <c r="Y369" s="9"/>
      <c r="Z369" s="9"/>
      <c r="AA369" s="9"/>
      <c r="AB369" s="9"/>
      <c r="AC369" s="9"/>
      <c r="AD369" s="9"/>
    </row>
    <row r="370" spans="1:30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 t="str">
        <f t="shared" ca="1" si="10"/>
        <v/>
      </c>
      <c r="W370" s="9" t="str">
        <f t="shared" ca="1" si="11"/>
        <v/>
      </c>
      <c r="X370" s="9"/>
      <c r="Y370" s="9"/>
      <c r="Z370" s="9"/>
      <c r="AA370" s="9"/>
      <c r="AB370" s="9"/>
      <c r="AC370" s="9"/>
      <c r="AD370" s="9"/>
    </row>
    <row r="371" spans="1:30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 t="str">
        <f t="shared" ca="1" si="10"/>
        <v/>
      </c>
      <c r="W371" s="9" t="str">
        <f t="shared" ca="1" si="11"/>
        <v/>
      </c>
      <c r="X371" s="9"/>
      <c r="Y371" s="9"/>
      <c r="Z371" s="9"/>
      <c r="AA371" s="9"/>
      <c r="AB371" s="9"/>
      <c r="AC371" s="9"/>
      <c r="AD371" s="9"/>
    </row>
    <row r="372" spans="1:30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 t="str">
        <f t="shared" ca="1" si="10"/>
        <v/>
      </c>
      <c r="W372" s="9" t="str">
        <f t="shared" ca="1" si="11"/>
        <v/>
      </c>
      <c r="X372" s="9"/>
      <c r="Y372" s="9"/>
      <c r="Z372" s="9"/>
      <c r="AA372" s="9"/>
      <c r="AB372" s="9"/>
      <c r="AC372" s="9"/>
      <c r="AD372" s="9"/>
    </row>
    <row r="373" spans="1:30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 t="str">
        <f t="shared" ca="1" si="10"/>
        <v/>
      </c>
      <c r="W373" s="9" t="str">
        <f t="shared" ca="1" si="11"/>
        <v/>
      </c>
      <c r="X373" s="9"/>
      <c r="Y373" s="9"/>
      <c r="Z373" s="9"/>
      <c r="AA373" s="9"/>
      <c r="AB373" s="9"/>
      <c r="AC373" s="9"/>
      <c r="AD373" s="9"/>
    </row>
    <row r="374" spans="1:30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 t="str">
        <f t="shared" ca="1" si="10"/>
        <v/>
      </c>
      <c r="W374" s="9" t="str">
        <f t="shared" ca="1" si="11"/>
        <v/>
      </c>
      <c r="X374" s="9"/>
      <c r="Y374" s="9"/>
      <c r="Z374" s="9"/>
      <c r="AA374" s="9"/>
      <c r="AB374" s="9"/>
      <c r="AC374" s="9"/>
      <c r="AD374" s="9"/>
    </row>
    <row r="375" spans="1:30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 t="str">
        <f t="shared" ca="1" si="10"/>
        <v/>
      </c>
      <c r="W375" s="9" t="str">
        <f t="shared" ca="1" si="11"/>
        <v/>
      </c>
      <c r="X375" s="9"/>
      <c r="Y375" s="9"/>
      <c r="Z375" s="9"/>
      <c r="AA375" s="9"/>
      <c r="AB375" s="9"/>
      <c r="AC375" s="9"/>
      <c r="AD375" s="9"/>
    </row>
    <row r="376" spans="1:30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 t="str">
        <f t="shared" ca="1" si="10"/>
        <v/>
      </c>
      <c r="W376" s="9" t="str">
        <f t="shared" ca="1" si="11"/>
        <v/>
      </c>
      <c r="X376" s="9"/>
      <c r="Y376" s="9"/>
      <c r="Z376" s="9"/>
      <c r="AA376" s="9"/>
      <c r="AB376" s="9"/>
      <c r="AC376" s="9"/>
      <c r="AD376" s="9"/>
    </row>
    <row r="377" spans="1:30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 t="str">
        <f t="shared" ca="1" si="10"/>
        <v/>
      </c>
      <c r="W377" s="9" t="str">
        <f t="shared" ca="1" si="11"/>
        <v/>
      </c>
      <c r="X377" s="9"/>
      <c r="Y377" s="9"/>
      <c r="Z377" s="9"/>
      <c r="AA377" s="9"/>
      <c r="AB377" s="9"/>
      <c r="AC377" s="9"/>
      <c r="AD377" s="9"/>
    </row>
    <row r="378" spans="1:30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 t="str">
        <f t="shared" ca="1" si="10"/>
        <v/>
      </c>
      <c r="W378" s="9" t="str">
        <f t="shared" ca="1" si="11"/>
        <v/>
      </c>
      <c r="X378" s="9"/>
      <c r="Y378" s="9"/>
      <c r="Z378" s="9"/>
      <c r="AA378" s="9"/>
      <c r="AB378" s="9"/>
      <c r="AC378" s="9"/>
      <c r="AD378" s="9"/>
    </row>
    <row r="379" spans="1:30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 t="str">
        <f t="shared" ca="1" si="10"/>
        <v/>
      </c>
      <c r="W379" s="9" t="str">
        <f t="shared" ca="1" si="11"/>
        <v/>
      </c>
      <c r="X379" s="9"/>
      <c r="Y379" s="9"/>
      <c r="Z379" s="9"/>
      <c r="AA379" s="9"/>
      <c r="AB379" s="9"/>
      <c r="AC379" s="9"/>
      <c r="AD379" s="9"/>
    </row>
    <row r="380" spans="1:30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 t="str">
        <f t="shared" ca="1" si="10"/>
        <v/>
      </c>
      <c r="W380" s="9" t="str">
        <f t="shared" ca="1" si="11"/>
        <v/>
      </c>
      <c r="X380" s="9"/>
      <c r="Y380" s="9"/>
      <c r="Z380" s="9"/>
      <c r="AA380" s="9"/>
      <c r="AB380" s="9"/>
      <c r="AC380" s="9"/>
      <c r="AD380" s="9"/>
    </row>
    <row r="381" spans="1:30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 t="str">
        <f t="shared" ca="1" si="10"/>
        <v/>
      </c>
      <c r="W381" s="9" t="str">
        <f t="shared" ca="1" si="11"/>
        <v/>
      </c>
      <c r="X381" s="9"/>
      <c r="Y381" s="9"/>
      <c r="Z381" s="9"/>
      <c r="AA381" s="9"/>
      <c r="AB381" s="9"/>
      <c r="AC381" s="9"/>
      <c r="AD381" s="9"/>
    </row>
    <row r="382" spans="1:30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 t="str">
        <f t="shared" ca="1" si="10"/>
        <v/>
      </c>
      <c r="W382" s="9" t="str">
        <f t="shared" ca="1" si="11"/>
        <v/>
      </c>
      <c r="X382" s="9"/>
      <c r="Y382" s="9"/>
      <c r="Z382" s="9"/>
      <c r="AA382" s="9"/>
      <c r="AB382" s="9"/>
      <c r="AC382" s="9"/>
      <c r="AD382" s="9"/>
    </row>
    <row r="383" spans="1:30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 t="str">
        <f t="shared" ca="1" si="10"/>
        <v/>
      </c>
      <c r="W383" s="9" t="str">
        <f t="shared" ca="1" si="11"/>
        <v/>
      </c>
      <c r="X383" s="9"/>
      <c r="Y383" s="9"/>
      <c r="Z383" s="9"/>
      <c r="AA383" s="9"/>
      <c r="AB383" s="9"/>
      <c r="AC383" s="9"/>
      <c r="AD383" s="9"/>
    </row>
    <row r="384" spans="1:30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 t="str">
        <f t="shared" ca="1" si="10"/>
        <v/>
      </c>
      <c r="W384" s="9" t="str">
        <f t="shared" ca="1" si="11"/>
        <v/>
      </c>
      <c r="X384" s="9"/>
      <c r="Y384" s="9"/>
      <c r="Z384" s="9"/>
      <c r="AA384" s="9"/>
      <c r="AB384" s="9"/>
      <c r="AC384" s="9"/>
      <c r="AD384" s="9"/>
    </row>
    <row r="385" spans="1:30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 t="str">
        <f t="shared" ca="1" si="10"/>
        <v/>
      </c>
      <c r="W385" s="9" t="str">
        <f t="shared" ca="1" si="11"/>
        <v/>
      </c>
      <c r="X385" s="9"/>
      <c r="Y385" s="9"/>
      <c r="Z385" s="9"/>
      <c r="AA385" s="9"/>
      <c r="AB385" s="9"/>
      <c r="AC385" s="9"/>
      <c r="AD385" s="9"/>
    </row>
    <row r="386" spans="1:30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 t="str">
        <f t="shared" ca="1" si="10"/>
        <v/>
      </c>
      <c r="W386" s="9" t="str">
        <f t="shared" ca="1" si="11"/>
        <v/>
      </c>
      <c r="X386" s="9"/>
      <c r="Y386" s="9"/>
      <c r="Z386" s="9"/>
      <c r="AA386" s="9"/>
      <c r="AB386" s="9"/>
      <c r="AC386" s="9"/>
      <c r="AD386" s="9"/>
    </row>
    <row r="387" spans="1:30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 t="str">
        <f t="shared" ref="V387:V450" ca="1" si="12">IF(T387="","",T387-TODAY())</f>
        <v/>
      </c>
      <c r="W387" s="9" t="str">
        <f t="shared" ref="W387:W450" ca="1" si="13">IF(T387="","",IF(T387&lt;TODAY(),"PAST EOS — UNSUPPORTED",IF(T387-TODAY()&lt;=365,"EOS within 12 months","Supported")))</f>
        <v/>
      </c>
      <c r="X387" s="9"/>
      <c r="Y387" s="9"/>
      <c r="Z387" s="9"/>
      <c r="AA387" s="9"/>
      <c r="AB387" s="9"/>
      <c r="AC387" s="9"/>
      <c r="AD387" s="9"/>
    </row>
    <row r="388" spans="1:30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 t="str">
        <f t="shared" ca="1" si="12"/>
        <v/>
      </c>
      <c r="W388" s="9" t="str">
        <f t="shared" ca="1" si="13"/>
        <v/>
      </c>
      <c r="X388" s="9"/>
      <c r="Y388" s="9"/>
      <c r="Z388" s="9"/>
      <c r="AA388" s="9"/>
      <c r="AB388" s="9"/>
      <c r="AC388" s="9"/>
      <c r="AD388" s="9"/>
    </row>
    <row r="389" spans="1:30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 t="str">
        <f t="shared" ca="1" si="12"/>
        <v/>
      </c>
      <c r="W389" s="9" t="str">
        <f t="shared" ca="1" si="13"/>
        <v/>
      </c>
      <c r="X389" s="9"/>
      <c r="Y389" s="9"/>
      <c r="Z389" s="9"/>
      <c r="AA389" s="9"/>
      <c r="AB389" s="9"/>
      <c r="AC389" s="9"/>
      <c r="AD389" s="9"/>
    </row>
    <row r="390" spans="1:30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 t="str">
        <f t="shared" ca="1" si="12"/>
        <v/>
      </c>
      <c r="W390" s="9" t="str">
        <f t="shared" ca="1" si="13"/>
        <v/>
      </c>
      <c r="X390" s="9"/>
      <c r="Y390" s="9"/>
      <c r="Z390" s="9"/>
      <c r="AA390" s="9"/>
      <c r="AB390" s="9"/>
      <c r="AC390" s="9"/>
      <c r="AD390" s="9"/>
    </row>
    <row r="391" spans="1:30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 t="str">
        <f t="shared" ca="1" si="12"/>
        <v/>
      </c>
      <c r="W391" s="9" t="str">
        <f t="shared" ca="1" si="13"/>
        <v/>
      </c>
      <c r="X391" s="9"/>
      <c r="Y391" s="9"/>
      <c r="Z391" s="9"/>
      <c r="AA391" s="9"/>
      <c r="AB391" s="9"/>
      <c r="AC391" s="9"/>
      <c r="AD391" s="9"/>
    </row>
    <row r="392" spans="1:30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 t="str">
        <f t="shared" ca="1" si="12"/>
        <v/>
      </c>
      <c r="W392" s="9" t="str">
        <f t="shared" ca="1" si="13"/>
        <v/>
      </c>
      <c r="X392" s="9"/>
      <c r="Y392" s="9"/>
      <c r="Z392" s="9"/>
      <c r="AA392" s="9"/>
      <c r="AB392" s="9"/>
      <c r="AC392" s="9"/>
      <c r="AD392" s="9"/>
    </row>
    <row r="393" spans="1:30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 t="str">
        <f t="shared" ca="1" si="12"/>
        <v/>
      </c>
      <c r="W393" s="9" t="str">
        <f t="shared" ca="1" si="13"/>
        <v/>
      </c>
      <c r="X393" s="9"/>
      <c r="Y393" s="9"/>
      <c r="Z393" s="9"/>
      <c r="AA393" s="9"/>
      <c r="AB393" s="9"/>
      <c r="AC393" s="9"/>
      <c r="AD393" s="9"/>
    </row>
    <row r="394" spans="1:30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 t="str">
        <f t="shared" ca="1" si="12"/>
        <v/>
      </c>
      <c r="W394" s="9" t="str">
        <f t="shared" ca="1" si="13"/>
        <v/>
      </c>
      <c r="X394" s="9"/>
      <c r="Y394" s="9"/>
      <c r="Z394" s="9"/>
      <c r="AA394" s="9"/>
      <c r="AB394" s="9"/>
      <c r="AC394" s="9"/>
      <c r="AD394" s="9"/>
    </row>
    <row r="395" spans="1:30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 t="str">
        <f t="shared" ca="1" si="12"/>
        <v/>
      </c>
      <c r="W395" s="9" t="str">
        <f t="shared" ca="1" si="13"/>
        <v/>
      </c>
      <c r="X395" s="9"/>
      <c r="Y395" s="9"/>
      <c r="Z395" s="9"/>
      <c r="AA395" s="9"/>
      <c r="AB395" s="9"/>
      <c r="AC395" s="9"/>
      <c r="AD395" s="9"/>
    </row>
    <row r="396" spans="1:30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 t="str">
        <f t="shared" ca="1" si="12"/>
        <v/>
      </c>
      <c r="W396" s="9" t="str">
        <f t="shared" ca="1" si="13"/>
        <v/>
      </c>
      <c r="X396" s="9"/>
      <c r="Y396" s="9"/>
      <c r="Z396" s="9"/>
      <c r="AA396" s="9"/>
      <c r="AB396" s="9"/>
      <c r="AC396" s="9"/>
      <c r="AD396" s="9"/>
    </row>
    <row r="397" spans="1:30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 t="str">
        <f t="shared" ca="1" si="12"/>
        <v/>
      </c>
      <c r="W397" s="9" t="str">
        <f t="shared" ca="1" si="13"/>
        <v/>
      </c>
      <c r="X397" s="9"/>
      <c r="Y397" s="9"/>
      <c r="Z397" s="9"/>
      <c r="AA397" s="9"/>
      <c r="AB397" s="9"/>
      <c r="AC397" s="9"/>
      <c r="AD397" s="9"/>
    </row>
    <row r="398" spans="1:30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 t="str">
        <f t="shared" ca="1" si="12"/>
        <v/>
      </c>
      <c r="W398" s="9" t="str">
        <f t="shared" ca="1" si="13"/>
        <v/>
      </c>
      <c r="X398" s="9"/>
      <c r="Y398" s="9"/>
      <c r="Z398" s="9"/>
      <c r="AA398" s="9"/>
      <c r="AB398" s="9"/>
      <c r="AC398" s="9"/>
      <c r="AD398" s="9"/>
    </row>
    <row r="399" spans="1:30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 t="str">
        <f t="shared" ca="1" si="12"/>
        <v/>
      </c>
      <c r="W399" s="9" t="str">
        <f t="shared" ca="1" si="13"/>
        <v/>
      </c>
      <c r="X399" s="9"/>
      <c r="Y399" s="9"/>
      <c r="Z399" s="9"/>
      <c r="AA399" s="9"/>
      <c r="AB399" s="9"/>
      <c r="AC399" s="9"/>
      <c r="AD399" s="9"/>
    </row>
    <row r="400" spans="1:30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 t="str">
        <f t="shared" ca="1" si="12"/>
        <v/>
      </c>
      <c r="W400" s="9" t="str">
        <f t="shared" ca="1" si="13"/>
        <v/>
      </c>
      <c r="X400" s="9"/>
      <c r="Y400" s="9"/>
      <c r="Z400" s="9"/>
      <c r="AA400" s="9"/>
      <c r="AB400" s="9"/>
      <c r="AC400" s="9"/>
      <c r="AD400" s="9"/>
    </row>
    <row r="401" spans="1:30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 t="str">
        <f t="shared" ca="1" si="12"/>
        <v/>
      </c>
      <c r="W401" s="9" t="str">
        <f t="shared" ca="1" si="13"/>
        <v/>
      </c>
      <c r="X401" s="9"/>
      <c r="Y401" s="9"/>
      <c r="Z401" s="9"/>
      <c r="AA401" s="9"/>
      <c r="AB401" s="9"/>
      <c r="AC401" s="9"/>
      <c r="AD401" s="9"/>
    </row>
    <row r="402" spans="1:30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 t="str">
        <f t="shared" ca="1" si="12"/>
        <v/>
      </c>
      <c r="W402" s="9" t="str">
        <f t="shared" ca="1" si="13"/>
        <v/>
      </c>
      <c r="X402" s="9"/>
      <c r="Y402" s="9"/>
      <c r="Z402" s="9"/>
      <c r="AA402" s="9"/>
      <c r="AB402" s="9"/>
      <c r="AC402" s="9"/>
      <c r="AD402" s="9"/>
    </row>
    <row r="403" spans="1:30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 t="str">
        <f t="shared" ca="1" si="12"/>
        <v/>
      </c>
      <c r="W403" s="9" t="str">
        <f t="shared" ca="1" si="13"/>
        <v/>
      </c>
      <c r="X403" s="9"/>
      <c r="Y403" s="9"/>
      <c r="Z403" s="9"/>
      <c r="AA403" s="9"/>
      <c r="AB403" s="9"/>
      <c r="AC403" s="9"/>
      <c r="AD403" s="9"/>
    </row>
    <row r="404" spans="1:30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 t="str">
        <f t="shared" ca="1" si="12"/>
        <v/>
      </c>
      <c r="W404" s="9" t="str">
        <f t="shared" ca="1" si="13"/>
        <v/>
      </c>
      <c r="X404" s="9"/>
      <c r="Y404" s="9"/>
      <c r="Z404" s="9"/>
      <c r="AA404" s="9"/>
      <c r="AB404" s="9"/>
      <c r="AC404" s="9"/>
      <c r="AD404" s="9"/>
    </row>
    <row r="405" spans="1:30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 t="str">
        <f t="shared" ca="1" si="12"/>
        <v/>
      </c>
      <c r="W405" s="9" t="str">
        <f t="shared" ca="1" si="13"/>
        <v/>
      </c>
      <c r="X405" s="9"/>
      <c r="Y405" s="9"/>
      <c r="Z405" s="9"/>
      <c r="AA405" s="9"/>
      <c r="AB405" s="9"/>
      <c r="AC405" s="9"/>
      <c r="AD405" s="9"/>
    </row>
    <row r="406" spans="1:30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 t="str">
        <f t="shared" ca="1" si="12"/>
        <v/>
      </c>
      <c r="W406" s="9" t="str">
        <f t="shared" ca="1" si="13"/>
        <v/>
      </c>
      <c r="X406" s="9"/>
      <c r="Y406" s="9"/>
      <c r="Z406" s="9"/>
      <c r="AA406" s="9"/>
      <c r="AB406" s="9"/>
      <c r="AC406" s="9"/>
      <c r="AD406" s="9"/>
    </row>
    <row r="407" spans="1:30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 t="str">
        <f t="shared" ca="1" si="12"/>
        <v/>
      </c>
      <c r="W407" s="9" t="str">
        <f t="shared" ca="1" si="13"/>
        <v/>
      </c>
      <c r="X407" s="9"/>
      <c r="Y407" s="9"/>
      <c r="Z407" s="9"/>
      <c r="AA407" s="9"/>
      <c r="AB407" s="9"/>
      <c r="AC407" s="9"/>
      <c r="AD407" s="9"/>
    </row>
    <row r="408" spans="1:30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 t="str">
        <f t="shared" ca="1" si="12"/>
        <v/>
      </c>
      <c r="W408" s="9" t="str">
        <f t="shared" ca="1" si="13"/>
        <v/>
      </c>
      <c r="X408" s="9"/>
      <c r="Y408" s="9"/>
      <c r="Z408" s="9"/>
      <c r="AA408" s="9"/>
      <c r="AB408" s="9"/>
      <c r="AC408" s="9"/>
      <c r="AD408" s="9"/>
    </row>
    <row r="409" spans="1:30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 t="str">
        <f t="shared" ca="1" si="12"/>
        <v/>
      </c>
      <c r="W409" s="9" t="str">
        <f t="shared" ca="1" si="13"/>
        <v/>
      </c>
      <c r="X409" s="9"/>
      <c r="Y409" s="9"/>
      <c r="Z409" s="9"/>
      <c r="AA409" s="9"/>
      <c r="AB409" s="9"/>
      <c r="AC409" s="9"/>
      <c r="AD409" s="9"/>
    </row>
    <row r="410" spans="1:30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 t="str">
        <f t="shared" ca="1" si="12"/>
        <v/>
      </c>
      <c r="W410" s="9" t="str">
        <f t="shared" ca="1" si="13"/>
        <v/>
      </c>
      <c r="X410" s="9"/>
      <c r="Y410" s="9"/>
      <c r="Z410" s="9"/>
      <c r="AA410" s="9"/>
      <c r="AB410" s="9"/>
      <c r="AC410" s="9"/>
      <c r="AD410" s="9"/>
    </row>
    <row r="411" spans="1:30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 t="str">
        <f t="shared" ca="1" si="12"/>
        <v/>
      </c>
      <c r="W411" s="9" t="str">
        <f t="shared" ca="1" si="13"/>
        <v/>
      </c>
      <c r="X411" s="9"/>
      <c r="Y411" s="9"/>
      <c r="Z411" s="9"/>
      <c r="AA411" s="9"/>
      <c r="AB411" s="9"/>
      <c r="AC411" s="9"/>
      <c r="AD411" s="9"/>
    </row>
    <row r="412" spans="1:30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 t="str">
        <f t="shared" ca="1" si="12"/>
        <v/>
      </c>
      <c r="W412" s="9" t="str">
        <f t="shared" ca="1" si="13"/>
        <v/>
      </c>
      <c r="X412" s="9"/>
      <c r="Y412" s="9"/>
      <c r="Z412" s="9"/>
      <c r="AA412" s="9"/>
      <c r="AB412" s="9"/>
      <c r="AC412" s="9"/>
      <c r="AD412" s="9"/>
    </row>
    <row r="413" spans="1:30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 t="str">
        <f t="shared" ca="1" si="12"/>
        <v/>
      </c>
      <c r="W413" s="9" t="str">
        <f t="shared" ca="1" si="13"/>
        <v/>
      </c>
      <c r="X413" s="9"/>
      <c r="Y413" s="9"/>
      <c r="Z413" s="9"/>
      <c r="AA413" s="9"/>
      <c r="AB413" s="9"/>
      <c r="AC413" s="9"/>
      <c r="AD413" s="9"/>
    </row>
    <row r="414" spans="1:30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 t="str">
        <f t="shared" ca="1" si="12"/>
        <v/>
      </c>
      <c r="W414" s="9" t="str">
        <f t="shared" ca="1" si="13"/>
        <v/>
      </c>
      <c r="X414" s="9"/>
      <c r="Y414" s="9"/>
      <c r="Z414" s="9"/>
      <c r="AA414" s="9"/>
      <c r="AB414" s="9"/>
      <c r="AC414" s="9"/>
      <c r="AD414" s="9"/>
    </row>
    <row r="415" spans="1:30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 t="str">
        <f t="shared" ca="1" si="12"/>
        <v/>
      </c>
      <c r="W415" s="9" t="str">
        <f t="shared" ca="1" si="13"/>
        <v/>
      </c>
      <c r="X415" s="9"/>
      <c r="Y415" s="9"/>
      <c r="Z415" s="9"/>
      <c r="AA415" s="9"/>
      <c r="AB415" s="9"/>
      <c r="AC415" s="9"/>
      <c r="AD415" s="9"/>
    </row>
    <row r="416" spans="1:30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 t="str">
        <f t="shared" ca="1" si="12"/>
        <v/>
      </c>
      <c r="W416" s="9" t="str">
        <f t="shared" ca="1" si="13"/>
        <v/>
      </c>
      <c r="X416" s="9"/>
      <c r="Y416" s="9"/>
      <c r="Z416" s="9"/>
      <c r="AA416" s="9"/>
      <c r="AB416" s="9"/>
      <c r="AC416" s="9"/>
      <c r="AD416" s="9"/>
    </row>
    <row r="417" spans="1:30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 t="str">
        <f t="shared" ca="1" si="12"/>
        <v/>
      </c>
      <c r="W417" s="9" t="str">
        <f t="shared" ca="1" si="13"/>
        <v/>
      </c>
      <c r="X417" s="9"/>
      <c r="Y417" s="9"/>
      <c r="Z417" s="9"/>
      <c r="AA417" s="9"/>
      <c r="AB417" s="9"/>
      <c r="AC417" s="9"/>
      <c r="AD417" s="9"/>
    </row>
    <row r="418" spans="1:30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 t="str">
        <f t="shared" ca="1" si="12"/>
        <v/>
      </c>
      <c r="W418" s="9" t="str">
        <f t="shared" ca="1" si="13"/>
        <v/>
      </c>
      <c r="X418" s="9"/>
      <c r="Y418" s="9"/>
      <c r="Z418" s="9"/>
      <c r="AA418" s="9"/>
      <c r="AB418" s="9"/>
      <c r="AC418" s="9"/>
      <c r="AD418" s="9"/>
    </row>
    <row r="419" spans="1:30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 t="str">
        <f t="shared" ca="1" si="12"/>
        <v/>
      </c>
      <c r="W419" s="9" t="str">
        <f t="shared" ca="1" si="13"/>
        <v/>
      </c>
      <c r="X419" s="9"/>
      <c r="Y419" s="9"/>
      <c r="Z419" s="9"/>
      <c r="AA419" s="9"/>
      <c r="AB419" s="9"/>
      <c r="AC419" s="9"/>
      <c r="AD419" s="9"/>
    </row>
    <row r="420" spans="1:30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 t="str">
        <f t="shared" ca="1" si="12"/>
        <v/>
      </c>
      <c r="W420" s="9" t="str">
        <f t="shared" ca="1" si="13"/>
        <v/>
      </c>
      <c r="X420" s="9"/>
      <c r="Y420" s="9"/>
      <c r="Z420" s="9"/>
      <c r="AA420" s="9"/>
      <c r="AB420" s="9"/>
      <c r="AC420" s="9"/>
      <c r="AD420" s="9"/>
    </row>
    <row r="421" spans="1:30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 t="str">
        <f t="shared" ca="1" si="12"/>
        <v/>
      </c>
      <c r="W421" s="9" t="str">
        <f t="shared" ca="1" si="13"/>
        <v/>
      </c>
      <c r="X421" s="9"/>
      <c r="Y421" s="9"/>
      <c r="Z421" s="9"/>
      <c r="AA421" s="9"/>
      <c r="AB421" s="9"/>
      <c r="AC421" s="9"/>
      <c r="AD421" s="9"/>
    </row>
    <row r="422" spans="1:30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 t="str">
        <f t="shared" ca="1" si="12"/>
        <v/>
      </c>
      <c r="W422" s="9" t="str">
        <f t="shared" ca="1" si="13"/>
        <v/>
      </c>
      <c r="X422" s="9"/>
      <c r="Y422" s="9"/>
      <c r="Z422" s="9"/>
      <c r="AA422" s="9"/>
      <c r="AB422" s="9"/>
      <c r="AC422" s="9"/>
      <c r="AD422" s="9"/>
    </row>
    <row r="423" spans="1:30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 t="str">
        <f t="shared" ca="1" si="12"/>
        <v/>
      </c>
      <c r="W423" s="9" t="str">
        <f t="shared" ca="1" si="13"/>
        <v/>
      </c>
      <c r="X423" s="9"/>
      <c r="Y423" s="9"/>
      <c r="Z423" s="9"/>
      <c r="AA423" s="9"/>
      <c r="AB423" s="9"/>
      <c r="AC423" s="9"/>
      <c r="AD423" s="9"/>
    </row>
    <row r="424" spans="1:30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 t="str">
        <f t="shared" ca="1" si="12"/>
        <v/>
      </c>
      <c r="W424" s="9" t="str">
        <f t="shared" ca="1" si="13"/>
        <v/>
      </c>
      <c r="X424" s="9"/>
      <c r="Y424" s="9"/>
      <c r="Z424" s="9"/>
      <c r="AA424" s="9"/>
      <c r="AB424" s="9"/>
      <c r="AC424" s="9"/>
      <c r="AD424" s="9"/>
    </row>
    <row r="425" spans="1:30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 t="str">
        <f t="shared" ca="1" si="12"/>
        <v/>
      </c>
      <c r="W425" s="9" t="str">
        <f t="shared" ca="1" si="13"/>
        <v/>
      </c>
      <c r="X425" s="9"/>
      <c r="Y425" s="9"/>
      <c r="Z425" s="9"/>
      <c r="AA425" s="9"/>
      <c r="AB425" s="9"/>
      <c r="AC425" s="9"/>
      <c r="AD425" s="9"/>
    </row>
    <row r="426" spans="1:30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 t="str">
        <f t="shared" ca="1" si="12"/>
        <v/>
      </c>
      <c r="W426" s="9" t="str">
        <f t="shared" ca="1" si="13"/>
        <v/>
      </c>
      <c r="X426" s="9"/>
      <c r="Y426" s="9"/>
      <c r="Z426" s="9"/>
      <c r="AA426" s="9"/>
      <c r="AB426" s="9"/>
      <c r="AC426" s="9"/>
      <c r="AD426" s="9"/>
    </row>
    <row r="427" spans="1:30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 t="str">
        <f t="shared" ca="1" si="12"/>
        <v/>
      </c>
      <c r="W427" s="9" t="str">
        <f t="shared" ca="1" si="13"/>
        <v/>
      </c>
      <c r="X427" s="9"/>
      <c r="Y427" s="9"/>
      <c r="Z427" s="9"/>
      <c r="AA427" s="9"/>
      <c r="AB427" s="9"/>
      <c r="AC427" s="9"/>
      <c r="AD427" s="9"/>
    </row>
    <row r="428" spans="1:30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 t="str">
        <f t="shared" ca="1" si="12"/>
        <v/>
      </c>
      <c r="W428" s="9" t="str">
        <f t="shared" ca="1" si="13"/>
        <v/>
      </c>
      <c r="X428" s="9"/>
      <c r="Y428" s="9"/>
      <c r="Z428" s="9"/>
      <c r="AA428" s="9"/>
      <c r="AB428" s="9"/>
      <c r="AC428" s="9"/>
      <c r="AD428" s="9"/>
    </row>
    <row r="429" spans="1:30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 t="str">
        <f t="shared" ca="1" si="12"/>
        <v/>
      </c>
      <c r="W429" s="9" t="str">
        <f t="shared" ca="1" si="13"/>
        <v/>
      </c>
      <c r="X429" s="9"/>
      <c r="Y429" s="9"/>
      <c r="Z429" s="9"/>
      <c r="AA429" s="9"/>
      <c r="AB429" s="9"/>
      <c r="AC429" s="9"/>
      <c r="AD429" s="9"/>
    </row>
    <row r="430" spans="1:30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 t="str">
        <f t="shared" ca="1" si="12"/>
        <v/>
      </c>
      <c r="W430" s="9" t="str">
        <f t="shared" ca="1" si="13"/>
        <v/>
      </c>
      <c r="X430" s="9"/>
      <c r="Y430" s="9"/>
      <c r="Z430" s="9"/>
      <c r="AA430" s="9"/>
      <c r="AB430" s="9"/>
      <c r="AC430" s="9"/>
      <c r="AD430" s="9"/>
    </row>
    <row r="431" spans="1:30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 t="str">
        <f t="shared" ca="1" si="12"/>
        <v/>
      </c>
      <c r="W431" s="9" t="str">
        <f t="shared" ca="1" si="13"/>
        <v/>
      </c>
      <c r="X431" s="9"/>
      <c r="Y431" s="9"/>
      <c r="Z431" s="9"/>
      <c r="AA431" s="9"/>
      <c r="AB431" s="9"/>
      <c r="AC431" s="9"/>
      <c r="AD431" s="9"/>
    </row>
    <row r="432" spans="1:30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 t="str">
        <f t="shared" ca="1" si="12"/>
        <v/>
      </c>
      <c r="W432" s="9" t="str">
        <f t="shared" ca="1" si="13"/>
        <v/>
      </c>
      <c r="X432" s="9"/>
      <c r="Y432" s="9"/>
      <c r="Z432" s="9"/>
      <c r="AA432" s="9"/>
      <c r="AB432" s="9"/>
      <c r="AC432" s="9"/>
      <c r="AD432" s="9"/>
    </row>
    <row r="433" spans="1:30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 t="str">
        <f t="shared" ca="1" si="12"/>
        <v/>
      </c>
      <c r="W433" s="9" t="str">
        <f t="shared" ca="1" si="13"/>
        <v/>
      </c>
      <c r="X433" s="9"/>
      <c r="Y433" s="9"/>
      <c r="Z433" s="9"/>
      <c r="AA433" s="9"/>
      <c r="AB433" s="9"/>
      <c r="AC433" s="9"/>
      <c r="AD433" s="9"/>
    </row>
    <row r="434" spans="1:30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 t="str">
        <f t="shared" ca="1" si="12"/>
        <v/>
      </c>
      <c r="W434" s="9" t="str">
        <f t="shared" ca="1" si="13"/>
        <v/>
      </c>
      <c r="X434" s="9"/>
      <c r="Y434" s="9"/>
      <c r="Z434" s="9"/>
      <c r="AA434" s="9"/>
      <c r="AB434" s="9"/>
      <c r="AC434" s="9"/>
      <c r="AD434" s="9"/>
    </row>
    <row r="435" spans="1:30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 t="str">
        <f t="shared" ca="1" si="12"/>
        <v/>
      </c>
      <c r="W435" s="9" t="str">
        <f t="shared" ca="1" si="13"/>
        <v/>
      </c>
      <c r="X435" s="9"/>
      <c r="Y435" s="9"/>
      <c r="Z435" s="9"/>
      <c r="AA435" s="9"/>
      <c r="AB435" s="9"/>
      <c r="AC435" s="9"/>
      <c r="AD435" s="9"/>
    </row>
    <row r="436" spans="1:30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 t="str">
        <f t="shared" ca="1" si="12"/>
        <v/>
      </c>
      <c r="W436" s="9" t="str">
        <f t="shared" ca="1" si="13"/>
        <v/>
      </c>
      <c r="X436" s="9"/>
      <c r="Y436" s="9"/>
      <c r="Z436" s="9"/>
      <c r="AA436" s="9"/>
      <c r="AB436" s="9"/>
      <c r="AC436" s="9"/>
      <c r="AD436" s="9"/>
    </row>
    <row r="437" spans="1:30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 t="str">
        <f t="shared" ca="1" si="12"/>
        <v/>
      </c>
      <c r="W437" s="9" t="str">
        <f t="shared" ca="1" si="13"/>
        <v/>
      </c>
      <c r="X437" s="9"/>
      <c r="Y437" s="9"/>
      <c r="Z437" s="9"/>
      <c r="AA437" s="9"/>
      <c r="AB437" s="9"/>
      <c r="AC437" s="9"/>
      <c r="AD437" s="9"/>
    </row>
    <row r="438" spans="1:30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 t="str">
        <f t="shared" ca="1" si="12"/>
        <v/>
      </c>
      <c r="W438" s="9" t="str">
        <f t="shared" ca="1" si="13"/>
        <v/>
      </c>
      <c r="X438" s="9"/>
      <c r="Y438" s="9"/>
      <c r="Z438" s="9"/>
      <c r="AA438" s="9"/>
      <c r="AB438" s="9"/>
      <c r="AC438" s="9"/>
      <c r="AD438" s="9"/>
    </row>
    <row r="439" spans="1:30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 t="str">
        <f t="shared" ca="1" si="12"/>
        <v/>
      </c>
      <c r="W439" s="9" t="str">
        <f t="shared" ca="1" si="13"/>
        <v/>
      </c>
      <c r="X439" s="9"/>
      <c r="Y439" s="9"/>
      <c r="Z439" s="9"/>
      <c r="AA439" s="9"/>
      <c r="AB439" s="9"/>
      <c r="AC439" s="9"/>
      <c r="AD439" s="9"/>
    </row>
    <row r="440" spans="1:30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 t="str">
        <f t="shared" ca="1" si="12"/>
        <v/>
      </c>
      <c r="W440" s="9" t="str">
        <f t="shared" ca="1" si="13"/>
        <v/>
      </c>
      <c r="X440" s="9"/>
      <c r="Y440" s="9"/>
      <c r="Z440" s="9"/>
      <c r="AA440" s="9"/>
      <c r="AB440" s="9"/>
      <c r="AC440" s="9"/>
      <c r="AD440" s="9"/>
    </row>
    <row r="441" spans="1:30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 t="str">
        <f t="shared" ca="1" si="12"/>
        <v/>
      </c>
      <c r="W441" s="9" t="str">
        <f t="shared" ca="1" si="13"/>
        <v/>
      </c>
      <c r="X441" s="9"/>
      <c r="Y441" s="9"/>
      <c r="Z441" s="9"/>
      <c r="AA441" s="9"/>
      <c r="AB441" s="9"/>
      <c r="AC441" s="9"/>
      <c r="AD441" s="9"/>
    </row>
    <row r="442" spans="1:30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 t="str">
        <f t="shared" ca="1" si="12"/>
        <v/>
      </c>
      <c r="W442" s="9" t="str">
        <f t="shared" ca="1" si="13"/>
        <v/>
      </c>
      <c r="X442" s="9"/>
      <c r="Y442" s="9"/>
      <c r="Z442" s="9"/>
      <c r="AA442" s="9"/>
      <c r="AB442" s="9"/>
      <c r="AC442" s="9"/>
      <c r="AD442" s="9"/>
    </row>
    <row r="443" spans="1:30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 t="str">
        <f t="shared" ca="1" si="12"/>
        <v/>
      </c>
      <c r="W443" s="9" t="str">
        <f t="shared" ca="1" si="13"/>
        <v/>
      </c>
      <c r="X443" s="9"/>
      <c r="Y443" s="9"/>
      <c r="Z443" s="9"/>
      <c r="AA443" s="9"/>
      <c r="AB443" s="9"/>
      <c r="AC443" s="9"/>
      <c r="AD443" s="9"/>
    </row>
    <row r="444" spans="1:30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 t="str">
        <f t="shared" ca="1" si="12"/>
        <v/>
      </c>
      <c r="W444" s="9" t="str">
        <f t="shared" ca="1" si="13"/>
        <v/>
      </c>
      <c r="X444" s="9"/>
      <c r="Y444" s="9"/>
      <c r="Z444" s="9"/>
      <c r="AA444" s="9"/>
      <c r="AB444" s="9"/>
      <c r="AC444" s="9"/>
      <c r="AD444" s="9"/>
    </row>
    <row r="445" spans="1:30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 t="str">
        <f t="shared" ca="1" si="12"/>
        <v/>
      </c>
      <c r="W445" s="9" t="str">
        <f t="shared" ca="1" si="13"/>
        <v/>
      </c>
      <c r="X445" s="9"/>
      <c r="Y445" s="9"/>
      <c r="Z445" s="9"/>
      <c r="AA445" s="9"/>
      <c r="AB445" s="9"/>
      <c r="AC445" s="9"/>
      <c r="AD445" s="9"/>
    </row>
    <row r="446" spans="1:30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 t="str">
        <f t="shared" ca="1" si="12"/>
        <v/>
      </c>
      <c r="W446" s="9" t="str">
        <f t="shared" ca="1" si="13"/>
        <v/>
      </c>
      <c r="X446" s="9"/>
      <c r="Y446" s="9"/>
      <c r="Z446" s="9"/>
      <c r="AA446" s="9"/>
      <c r="AB446" s="9"/>
      <c r="AC446" s="9"/>
      <c r="AD446" s="9"/>
    </row>
    <row r="447" spans="1:30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 t="str">
        <f t="shared" ca="1" si="12"/>
        <v/>
      </c>
      <c r="W447" s="9" t="str">
        <f t="shared" ca="1" si="13"/>
        <v/>
      </c>
      <c r="X447" s="9"/>
      <c r="Y447" s="9"/>
      <c r="Z447" s="9"/>
      <c r="AA447" s="9"/>
      <c r="AB447" s="9"/>
      <c r="AC447" s="9"/>
      <c r="AD447" s="9"/>
    </row>
    <row r="448" spans="1:30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 t="str">
        <f t="shared" ca="1" si="12"/>
        <v/>
      </c>
      <c r="W448" s="9" t="str">
        <f t="shared" ca="1" si="13"/>
        <v/>
      </c>
      <c r="X448" s="9"/>
      <c r="Y448" s="9"/>
      <c r="Z448" s="9"/>
      <c r="AA448" s="9"/>
      <c r="AB448" s="9"/>
      <c r="AC448" s="9"/>
      <c r="AD448" s="9"/>
    </row>
    <row r="449" spans="1:30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 t="str">
        <f t="shared" ca="1" si="12"/>
        <v/>
      </c>
      <c r="W449" s="9" t="str">
        <f t="shared" ca="1" si="13"/>
        <v/>
      </c>
      <c r="X449" s="9"/>
      <c r="Y449" s="9"/>
      <c r="Z449" s="9"/>
      <c r="AA449" s="9"/>
      <c r="AB449" s="9"/>
      <c r="AC449" s="9"/>
      <c r="AD449" s="9"/>
    </row>
    <row r="450" spans="1:30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 t="str">
        <f t="shared" ca="1" si="12"/>
        <v/>
      </c>
      <c r="W450" s="9" t="str">
        <f t="shared" ca="1" si="13"/>
        <v/>
      </c>
      <c r="X450" s="9"/>
      <c r="Y450" s="9"/>
      <c r="Z450" s="9"/>
      <c r="AA450" s="9"/>
      <c r="AB450" s="9"/>
      <c r="AC450" s="9"/>
      <c r="AD450" s="9"/>
    </row>
    <row r="451" spans="1:30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 t="str">
        <f t="shared" ref="V451:V500" ca="1" si="14">IF(T451="","",T451-TODAY())</f>
        <v/>
      </c>
      <c r="W451" s="9" t="str">
        <f t="shared" ref="W451:W500" ca="1" si="15">IF(T451="","",IF(T451&lt;TODAY(),"PAST EOS — UNSUPPORTED",IF(T451-TODAY()&lt;=365,"EOS within 12 months","Supported")))</f>
        <v/>
      </c>
      <c r="X451" s="9"/>
      <c r="Y451" s="9"/>
      <c r="Z451" s="9"/>
      <c r="AA451" s="9"/>
      <c r="AB451" s="9"/>
      <c r="AC451" s="9"/>
      <c r="AD451" s="9"/>
    </row>
    <row r="452" spans="1:30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 t="str">
        <f t="shared" ca="1" si="14"/>
        <v/>
      </c>
      <c r="W452" s="9" t="str">
        <f t="shared" ca="1" si="15"/>
        <v/>
      </c>
      <c r="X452" s="9"/>
      <c r="Y452" s="9"/>
      <c r="Z452" s="9"/>
      <c r="AA452" s="9"/>
      <c r="AB452" s="9"/>
      <c r="AC452" s="9"/>
      <c r="AD452" s="9"/>
    </row>
    <row r="453" spans="1:30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 t="str">
        <f t="shared" ca="1" si="14"/>
        <v/>
      </c>
      <c r="W453" s="9" t="str">
        <f t="shared" ca="1" si="15"/>
        <v/>
      </c>
      <c r="X453" s="9"/>
      <c r="Y453" s="9"/>
      <c r="Z453" s="9"/>
      <c r="AA453" s="9"/>
      <c r="AB453" s="9"/>
      <c r="AC453" s="9"/>
      <c r="AD453" s="9"/>
    </row>
    <row r="454" spans="1:30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 t="str">
        <f t="shared" ca="1" si="14"/>
        <v/>
      </c>
      <c r="W454" s="9" t="str">
        <f t="shared" ca="1" si="15"/>
        <v/>
      </c>
      <c r="X454" s="9"/>
      <c r="Y454" s="9"/>
      <c r="Z454" s="9"/>
      <c r="AA454" s="9"/>
      <c r="AB454" s="9"/>
      <c r="AC454" s="9"/>
      <c r="AD454" s="9"/>
    </row>
    <row r="455" spans="1:30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 t="str">
        <f t="shared" ca="1" si="14"/>
        <v/>
      </c>
      <c r="W455" s="9" t="str">
        <f t="shared" ca="1" si="15"/>
        <v/>
      </c>
      <c r="X455" s="9"/>
      <c r="Y455" s="9"/>
      <c r="Z455" s="9"/>
      <c r="AA455" s="9"/>
      <c r="AB455" s="9"/>
      <c r="AC455" s="9"/>
      <c r="AD455" s="9"/>
    </row>
    <row r="456" spans="1:30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 t="str">
        <f t="shared" ca="1" si="14"/>
        <v/>
      </c>
      <c r="W456" s="9" t="str">
        <f t="shared" ca="1" si="15"/>
        <v/>
      </c>
      <c r="X456" s="9"/>
      <c r="Y456" s="9"/>
      <c r="Z456" s="9"/>
      <c r="AA456" s="9"/>
      <c r="AB456" s="9"/>
      <c r="AC456" s="9"/>
      <c r="AD456" s="9"/>
    </row>
    <row r="457" spans="1:30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 t="str">
        <f t="shared" ca="1" si="14"/>
        <v/>
      </c>
      <c r="W457" s="9" t="str">
        <f t="shared" ca="1" si="15"/>
        <v/>
      </c>
      <c r="X457" s="9"/>
      <c r="Y457" s="9"/>
      <c r="Z457" s="9"/>
      <c r="AA457" s="9"/>
      <c r="AB457" s="9"/>
      <c r="AC457" s="9"/>
      <c r="AD457" s="9"/>
    </row>
    <row r="458" spans="1:30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 t="str">
        <f t="shared" ca="1" si="14"/>
        <v/>
      </c>
      <c r="W458" s="9" t="str">
        <f t="shared" ca="1" si="15"/>
        <v/>
      </c>
      <c r="X458" s="9"/>
      <c r="Y458" s="9"/>
      <c r="Z458" s="9"/>
      <c r="AA458" s="9"/>
      <c r="AB458" s="9"/>
      <c r="AC458" s="9"/>
      <c r="AD458" s="9"/>
    </row>
    <row r="459" spans="1:30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 t="str">
        <f t="shared" ca="1" si="14"/>
        <v/>
      </c>
      <c r="W459" s="9" t="str">
        <f t="shared" ca="1" si="15"/>
        <v/>
      </c>
      <c r="X459" s="9"/>
      <c r="Y459" s="9"/>
      <c r="Z459" s="9"/>
      <c r="AA459" s="9"/>
      <c r="AB459" s="9"/>
      <c r="AC459" s="9"/>
      <c r="AD459" s="9"/>
    </row>
    <row r="460" spans="1:30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 t="str">
        <f t="shared" ca="1" si="14"/>
        <v/>
      </c>
      <c r="W460" s="9" t="str">
        <f t="shared" ca="1" si="15"/>
        <v/>
      </c>
      <c r="X460" s="9"/>
      <c r="Y460" s="9"/>
      <c r="Z460" s="9"/>
      <c r="AA460" s="9"/>
      <c r="AB460" s="9"/>
      <c r="AC460" s="9"/>
      <c r="AD460" s="9"/>
    </row>
    <row r="461" spans="1:30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 t="str">
        <f t="shared" ca="1" si="14"/>
        <v/>
      </c>
      <c r="W461" s="9" t="str">
        <f t="shared" ca="1" si="15"/>
        <v/>
      </c>
      <c r="X461" s="9"/>
      <c r="Y461" s="9"/>
      <c r="Z461" s="9"/>
      <c r="AA461" s="9"/>
      <c r="AB461" s="9"/>
      <c r="AC461" s="9"/>
      <c r="AD461" s="9"/>
    </row>
    <row r="462" spans="1:30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 t="str">
        <f t="shared" ca="1" si="14"/>
        <v/>
      </c>
      <c r="W462" s="9" t="str">
        <f t="shared" ca="1" si="15"/>
        <v/>
      </c>
      <c r="X462" s="9"/>
      <c r="Y462" s="9"/>
      <c r="Z462" s="9"/>
      <c r="AA462" s="9"/>
      <c r="AB462" s="9"/>
      <c r="AC462" s="9"/>
      <c r="AD462" s="9"/>
    </row>
    <row r="463" spans="1:30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 t="str">
        <f t="shared" ca="1" si="14"/>
        <v/>
      </c>
      <c r="W463" s="9" t="str">
        <f t="shared" ca="1" si="15"/>
        <v/>
      </c>
      <c r="X463" s="9"/>
      <c r="Y463" s="9"/>
      <c r="Z463" s="9"/>
      <c r="AA463" s="9"/>
      <c r="AB463" s="9"/>
      <c r="AC463" s="9"/>
      <c r="AD463" s="9"/>
    </row>
    <row r="464" spans="1:30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 t="str">
        <f t="shared" ca="1" si="14"/>
        <v/>
      </c>
      <c r="W464" s="9" t="str">
        <f t="shared" ca="1" si="15"/>
        <v/>
      </c>
      <c r="X464" s="9"/>
      <c r="Y464" s="9"/>
      <c r="Z464" s="9"/>
      <c r="AA464" s="9"/>
      <c r="AB464" s="9"/>
      <c r="AC464" s="9"/>
      <c r="AD464" s="9"/>
    </row>
    <row r="465" spans="1:30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 t="str">
        <f t="shared" ca="1" si="14"/>
        <v/>
      </c>
      <c r="W465" s="9" t="str">
        <f t="shared" ca="1" si="15"/>
        <v/>
      </c>
      <c r="X465" s="9"/>
      <c r="Y465" s="9"/>
      <c r="Z465" s="9"/>
      <c r="AA465" s="9"/>
      <c r="AB465" s="9"/>
      <c r="AC465" s="9"/>
      <c r="AD465" s="9"/>
    </row>
    <row r="466" spans="1:30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 t="str">
        <f t="shared" ca="1" si="14"/>
        <v/>
      </c>
      <c r="W466" s="9" t="str">
        <f t="shared" ca="1" si="15"/>
        <v/>
      </c>
      <c r="X466" s="9"/>
      <c r="Y466" s="9"/>
      <c r="Z466" s="9"/>
      <c r="AA466" s="9"/>
      <c r="AB466" s="9"/>
      <c r="AC466" s="9"/>
      <c r="AD466" s="9"/>
    </row>
    <row r="467" spans="1:30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 t="str">
        <f t="shared" ca="1" si="14"/>
        <v/>
      </c>
      <c r="W467" s="9" t="str">
        <f t="shared" ca="1" si="15"/>
        <v/>
      </c>
      <c r="X467" s="9"/>
      <c r="Y467" s="9"/>
      <c r="Z467" s="9"/>
      <c r="AA467" s="9"/>
      <c r="AB467" s="9"/>
      <c r="AC467" s="9"/>
      <c r="AD467" s="9"/>
    </row>
    <row r="468" spans="1:30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 t="str">
        <f t="shared" ca="1" si="14"/>
        <v/>
      </c>
      <c r="W468" s="9" t="str">
        <f t="shared" ca="1" si="15"/>
        <v/>
      </c>
      <c r="X468" s="9"/>
      <c r="Y468" s="9"/>
      <c r="Z468" s="9"/>
      <c r="AA468" s="9"/>
      <c r="AB468" s="9"/>
      <c r="AC468" s="9"/>
      <c r="AD468" s="9"/>
    </row>
    <row r="469" spans="1:30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 t="str">
        <f t="shared" ca="1" si="14"/>
        <v/>
      </c>
      <c r="W469" s="9" t="str">
        <f t="shared" ca="1" si="15"/>
        <v/>
      </c>
      <c r="X469" s="9"/>
      <c r="Y469" s="9"/>
      <c r="Z469" s="9"/>
      <c r="AA469" s="9"/>
      <c r="AB469" s="9"/>
      <c r="AC469" s="9"/>
      <c r="AD469" s="9"/>
    </row>
    <row r="470" spans="1:30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 t="str">
        <f t="shared" ca="1" si="14"/>
        <v/>
      </c>
      <c r="W470" s="9" t="str">
        <f t="shared" ca="1" si="15"/>
        <v/>
      </c>
      <c r="X470" s="9"/>
      <c r="Y470" s="9"/>
      <c r="Z470" s="9"/>
      <c r="AA470" s="9"/>
      <c r="AB470" s="9"/>
      <c r="AC470" s="9"/>
      <c r="AD470" s="9"/>
    </row>
    <row r="471" spans="1:30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 t="str">
        <f t="shared" ca="1" si="14"/>
        <v/>
      </c>
      <c r="W471" s="9" t="str">
        <f t="shared" ca="1" si="15"/>
        <v/>
      </c>
      <c r="X471" s="9"/>
      <c r="Y471" s="9"/>
      <c r="Z471" s="9"/>
      <c r="AA471" s="9"/>
      <c r="AB471" s="9"/>
      <c r="AC471" s="9"/>
      <c r="AD471" s="9"/>
    </row>
    <row r="472" spans="1:30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 t="str">
        <f t="shared" ca="1" si="14"/>
        <v/>
      </c>
      <c r="W472" s="9" t="str">
        <f t="shared" ca="1" si="15"/>
        <v/>
      </c>
      <c r="X472" s="9"/>
      <c r="Y472" s="9"/>
      <c r="Z472" s="9"/>
      <c r="AA472" s="9"/>
      <c r="AB472" s="9"/>
      <c r="AC472" s="9"/>
      <c r="AD472" s="9"/>
    </row>
    <row r="473" spans="1:30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 t="str">
        <f t="shared" ca="1" si="14"/>
        <v/>
      </c>
      <c r="W473" s="9" t="str">
        <f t="shared" ca="1" si="15"/>
        <v/>
      </c>
      <c r="X473" s="9"/>
      <c r="Y473" s="9"/>
      <c r="Z473" s="9"/>
      <c r="AA473" s="9"/>
      <c r="AB473" s="9"/>
      <c r="AC473" s="9"/>
      <c r="AD473" s="9"/>
    </row>
    <row r="474" spans="1:30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 t="str">
        <f t="shared" ca="1" si="14"/>
        <v/>
      </c>
      <c r="W474" s="9" t="str">
        <f t="shared" ca="1" si="15"/>
        <v/>
      </c>
      <c r="X474" s="9"/>
      <c r="Y474" s="9"/>
      <c r="Z474" s="9"/>
      <c r="AA474" s="9"/>
      <c r="AB474" s="9"/>
      <c r="AC474" s="9"/>
      <c r="AD474" s="9"/>
    </row>
    <row r="475" spans="1:30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 t="str">
        <f t="shared" ca="1" si="14"/>
        <v/>
      </c>
      <c r="W475" s="9" t="str">
        <f t="shared" ca="1" si="15"/>
        <v/>
      </c>
      <c r="X475" s="9"/>
      <c r="Y475" s="9"/>
      <c r="Z475" s="9"/>
      <c r="AA475" s="9"/>
      <c r="AB475" s="9"/>
      <c r="AC475" s="9"/>
      <c r="AD475" s="9"/>
    </row>
    <row r="476" spans="1:30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 t="str">
        <f t="shared" ca="1" si="14"/>
        <v/>
      </c>
      <c r="W476" s="9" t="str">
        <f t="shared" ca="1" si="15"/>
        <v/>
      </c>
      <c r="X476" s="9"/>
      <c r="Y476" s="9"/>
      <c r="Z476" s="9"/>
      <c r="AA476" s="9"/>
      <c r="AB476" s="9"/>
      <c r="AC476" s="9"/>
      <c r="AD476" s="9"/>
    </row>
    <row r="477" spans="1:30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 t="str">
        <f t="shared" ca="1" si="14"/>
        <v/>
      </c>
      <c r="W477" s="9" t="str">
        <f t="shared" ca="1" si="15"/>
        <v/>
      </c>
      <c r="X477" s="9"/>
      <c r="Y477" s="9"/>
      <c r="Z477" s="9"/>
      <c r="AA477" s="9"/>
      <c r="AB477" s="9"/>
      <c r="AC477" s="9"/>
      <c r="AD477" s="9"/>
    </row>
    <row r="478" spans="1:30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 t="str">
        <f t="shared" ca="1" si="14"/>
        <v/>
      </c>
      <c r="W478" s="9" t="str">
        <f t="shared" ca="1" si="15"/>
        <v/>
      </c>
      <c r="X478" s="9"/>
      <c r="Y478" s="9"/>
      <c r="Z478" s="9"/>
      <c r="AA478" s="9"/>
      <c r="AB478" s="9"/>
      <c r="AC478" s="9"/>
      <c r="AD478" s="9"/>
    </row>
    <row r="479" spans="1:30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 t="str">
        <f t="shared" ca="1" si="14"/>
        <v/>
      </c>
      <c r="W479" s="9" t="str">
        <f t="shared" ca="1" si="15"/>
        <v/>
      </c>
      <c r="X479" s="9"/>
      <c r="Y479" s="9"/>
      <c r="Z479" s="9"/>
      <c r="AA479" s="9"/>
      <c r="AB479" s="9"/>
      <c r="AC479" s="9"/>
      <c r="AD479" s="9"/>
    </row>
    <row r="480" spans="1:30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 t="str">
        <f t="shared" ca="1" si="14"/>
        <v/>
      </c>
      <c r="W480" s="9" t="str">
        <f t="shared" ca="1" si="15"/>
        <v/>
      </c>
      <c r="X480" s="9"/>
      <c r="Y480" s="9"/>
      <c r="Z480" s="9"/>
      <c r="AA480" s="9"/>
      <c r="AB480" s="9"/>
      <c r="AC480" s="9"/>
      <c r="AD480" s="9"/>
    </row>
    <row r="481" spans="1:30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 t="str">
        <f t="shared" ca="1" si="14"/>
        <v/>
      </c>
      <c r="W481" s="9" t="str">
        <f t="shared" ca="1" si="15"/>
        <v/>
      </c>
      <c r="X481" s="9"/>
      <c r="Y481" s="9"/>
      <c r="Z481" s="9"/>
      <c r="AA481" s="9"/>
      <c r="AB481" s="9"/>
      <c r="AC481" s="9"/>
      <c r="AD481" s="9"/>
    </row>
    <row r="482" spans="1:30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 t="str">
        <f t="shared" ca="1" si="14"/>
        <v/>
      </c>
      <c r="W482" s="9" t="str">
        <f t="shared" ca="1" si="15"/>
        <v/>
      </c>
      <c r="X482" s="9"/>
      <c r="Y482" s="9"/>
      <c r="Z482" s="9"/>
      <c r="AA482" s="9"/>
      <c r="AB482" s="9"/>
      <c r="AC482" s="9"/>
      <c r="AD482" s="9"/>
    </row>
    <row r="483" spans="1:30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 t="str">
        <f t="shared" ca="1" si="14"/>
        <v/>
      </c>
      <c r="W483" s="9" t="str">
        <f t="shared" ca="1" si="15"/>
        <v/>
      </c>
      <c r="X483" s="9"/>
      <c r="Y483" s="9"/>
      <c r="Z483" s="9"/>
      <c r="AA483" s="9"/>
      <c r="AB483" s="9"/>
      <c r="AC483" s="9"/>
      <c r="AD483" s="9"/>
    </row>
    <row r="484" spans="1:30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 t="str">
        <f t="shared" ca="1" si="14"/>
        <v/>
      </c>
      <c r="W484" s="9" t="str">
        <f t="shared" ca="1" si="15"/>
        <v/>
      </c>
      <c r="X484" s="9"/>
      <c r="Y484" s="9"/>
      <c r="Z484" s="9"/>
      <c r="AA484" s="9"/>
      <c r="AB484" s="9"/>
      <c r="AC484" s="9"/>
      <c r="AD484" s="9"/>
    </row>
    <row r="485" spans="1:30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 t="str">
        <f t="shared" ca="1" si="14"/>
        <v/>
      </c>
      <c r="W485" s="9" t="str">
        <f t="shared" ca="1" si="15"/>
        <v/>
      </c>
      <c r="X485" s="9"/>
      <c r="Y485" s="9"/>
      <c r="Z485" s="9"/>
      <c r="AA485" s="9"/>
      <c r="AB485" s="9"/>
      <c r="AC485" s="9"/>
      <c r="AD485" s="9"/>
    </row>
    <row r="486" spans="1:30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 t="str">
        <f t="shared" ca="1" si="14"/>
        <v/>
      </c>
      <c r="W486" s="9" t="str">
        <f t="shared" ca="1" si="15"/>
        <v/>
      </c>
      <c r="X486" s="9"/>
      <c r="Y486" s="9"/>
      <c r="Z486" s="9"/>
      <c r="AA486" s="9"/>
      <c r="AB486" s="9"/>
      <c r="AC486" s="9"/>
      <c r="AD486" s="9"/>
    </row>
    <row r="487" spans="1:30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 t="str">
        <f t="shared" ca="1" si="14"/>
        <v/>
      </c>
      <c r="W487" s="9" t="str">
        <f t="shared" ca="1" si="15"/>
        <v/>
      </c>
      <c r="X487" s="9"/>
      <c r="Y487" s="9"/>
      <c r="Z487" s="9"/>
      <c r="AA487" s="9"/>
      <c r="AB487" s="9"/>
      <c r="AC487" s="9"/>
      <c r="AD487" s="9"/>
    </row>
    <row r="488" spans="1:30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 t="str">
        <f t="shared" ca="1" si="14"/>
        <v/>
      </c>
      <c r="W488" s="9" t="str">
        <f t="shared" ca="1" si="15"/>
        <v/>
      </c>
      <c r="X488" s="9"/>
      <c r="Y488" s="9"/>
      <c r="Z488" s="9"/>
      <c r="AA488" s="9"/>
      <c r="AB488" s="9"/>
      <c r="AC488" s="9"/>
      <c r="AD488" s="9"/>
    </row>
    <row r="489" spans="1:30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 t="str">
        <f t="shared" ca="1" si="14"/>
        <v/>
      </c>
      <c r="W489" s="9" t="str">
        <f t="shared" ca="1" si="15"/>
        <v/>
      </c>
      <c r="X489" s="9"/>
      <c r="Y489" s="9"/>
      <c r="Z489" s="9"/>
      <c r="AA489" s="9"/>
      <c r="AB489" s="9"/>
      <c r="AC489" s="9"/>
      <c r="AD489" s="9"/>
    </row>
    <row r="490" spans="1:30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 t="str">
        <f t="shared" ca="1" si="14"/>
        <v/>
      </c>
      <c r="W490" s="9" t="str">
        <f t="shared" ca="1" si="15"/>
        <v/>
      </c>
      <c r="X490" s="9"/>
      <c r="Y490" s="9"/>
      <c r="Z490" s="9"/>
      <c r="AA490" s="9"/>
      <c r="AB490" s="9"/>
      <c r="AC490" s="9"/>
      <c r="AD490" s="9"/>
    </row>
    <row r="491" spans="1:30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 t="str">
        <f t="shared" ca="1" si="14"/>
        <v/>
      </c>
      <c r="W491" s="9" t="str">
        <f t="shared" ca="1" si="15"/>
        <v/>
      </c>
      <c r="X491" s="9"/>
      <c r="Y491" s="9"/>
      <c r="Z491" s="9"/>
      <c r="AA491" s="9"/>
      <c r="AB491" s="9"/>
      <c r="AC491" s="9"/>
      <c r="AD491" s="9"/>
    </row>
    <row r="492" spans="1:30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 t="str">
        <f t="shared" ca="1" si="14"/>
        <v/>
      </c>
      <c r="W492" s="9" t="str">
        <f t="shared" ca="1" si="15"/>
        <v/>
      </c>
      <c r="X492" s="9"/>
      <c r="Y492" s="9"/>
      <c r="Z492" s="9"/>
      <c r="AA492" s="9"/>
      <c r="AB492" s="9"/>
      <c r="AC492" s="9"/>
      <c r="AD492" s="9"/>
    </row>
    <row r="493" spans="1:30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 t="str">
        <f t="shared" ca="1" si="14"/>
        <v/>
      </c>
      <c r="W493" s="9" t="str">
        <f t="shared" ca="1" si="15"/>
        <v/>
      </c>
      <c r="X493" s="9"/>
      <c r="Y493" s="9"/>
      <c r="Z493" s="9"/>
      <c r="AA493" s="9"/>
      <c r="AB493" s="9"/>
      <c r="AC493" s="9"/>
      <c r="AD493" s="9"/>
    </row>
    <row r="494" spans="1:30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 t="str">
        <f t="shared" ca="1" si="14"/>
        <v/>
      </c>
      <c r="W494" s="9" t="str">
        <f t="shared" ca="1" si="15"/>
        <v/>
      </c>
      <c r="X494" s="9"/>
      <c r="Y494" s="9"/>
      <c r="Z494" s="9"/>
      <c r="AA494" s="9"/>
      <c r="AB494" s="9"/>
      <c r="AC494" s="9"/>
      <c r="AD494" s="9"/>
    </row>
    <row r="495" spans="1:30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 t="str">
        <f t="shared" ca="1" si="14"/>
        <v/>
      </c>
      <c r="W495" s="9" t="str">
        <f t="shared" ca="1" si="15"/>
        <v/>
      </c>
      <c r="X495" s="9"/>
      <c r="Y495" s="9"/>
      <c r="Z495" s="9"/>
      <c r="AA495" s="9"/>
      <c r="AB495" s="9"/>
      <c r="AC495" s="9"/>
      <c r="AD495" s="9"/>
    </row>
    <row r="496" spans="1:30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 t="str">
        <f t="shared" ca="1" si="14"/>
        <v/>
      </c>
      <c r="W496" s="9" t="str">
        <f t="shared" ca="1" si="15"/>
        <v/>
      </c>
      <c r="X496" s="9"/>
      <c r="Y496" s="9"/>
      <c r="Z496" s="9"/>
      <c r="AA496" s="9"/>
      <c r="AB496" s="9"/>
      <c r="AC496" s="9"/>
      <c r="AD496" s="9"/>
    </row>
    <row r="497" spans="1:30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 t="str">
        <f t="shared" ca="1" si="14"/>
        <v/>
      </c>
      <c r="W497" s="9" t="str">
        <f t="shared" ca="1" si="15"/>
        <v/>
      </c>
      <c r="X497" s="9"/>
      <c r="Y497" s="9"/>
      <c r="Z497" s="9"/>
      <c r="AA497" s="9"/>
      <c r="AB497" s="9"/>
      <c r="AC497" s="9"/>
      <c r="AD497" s="9"/>
    </row>
    <row r="498" spans="1:30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 t="str">
        <f t="shared" ca="1" si="14"/>
        <v/>
      </c>
      <c r="W498" s="9" t="str">
        <f t="shared" ca="1" si="15"/>
        <v/>
      </c>
      <c r="X498" s="9"/>
      <c r="Y498" s="9"/>
      <c r="Z498" s="9"/>
      <c r="AA498" s="9"/>
      <c r="AB498" s="9"/>
      <c r="AC498" s="9"/>
      <c r="AD498" s="9"/>
    </row>
    <row r="499" spans="1:30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 t="str">
        <f t="shared" ca="1" si="14"/>
        <v/>
      </c>
      <c r="W499" s="9" t="str">
        <f t="shared" ca="1" si="15"/>
        <v/>
      </c>
      <c r="X499" s="9"/>
      <c r="Y499" s="9"/>
      <c r="Z499" s="9"/>
      <c r="AA499" s="9"/>
      <c r="AB499" s="9"/>
      <c r="AC499" s="9"/>
      <c r="AD499" s="9"/>
    </row>
    <row r="500" spans="1:30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 t="str">
        <f t="shared" ca="1" si="14"/>
        <v/>
      </c>
      <c r="W500" s="9" t="str">
        <f t="shared" ca="1" si="15"/>
        <v/>
      </c>
      <c r="X500" s="9"/>
      <c r="Y500" s="9"/>
      <c r="Z500" s="9"/>
      <c r="AA500" s="9"/>
      <c r="AB500" s="9"/>
      <c r="AC500" s="9"/>
      <c r="AD500" s="9"/>
    </row>
  </sheetData>
  <mergeCells count="6">
    <mergeCell ref="Z1:AC1"/>
    <mergeCell ref="G1:L1"/>
    <mergeCell ref="X1:Y1"/>
    <mergeCell ref="A1:F1"/>
    <mergeCell ref="S1:W1"/>
    <mergeCell ref="M1:R1"/>
  </mergeCells>
  <conditionalFormatting sqref="N3:N500">
    <cfRule type="expression" dxfId="48" priority="11">
      <formula>$N3="Critical"</formula>
    </cfRule>
    <cfRule type="expression" dxfId="47" priority="12">
      <formula>$N3="High"</formula>
    </cfRule>
  </conditionalFormatting>
  <conditionalFormatting sqref="S3:S500">
    <cfRule type="expression" dxfId="46" priority="8">
      <formula>$S3="No longer maintained"</formula>
    </cfRule>
    <cfRule type="expression" dxfId="45" priority="9">
      <formula>$S3="Abandoned"</formula>
    </cfRule>
    <cfRule type="expression" dxfId="44" priority="10">
      <formula>$S3="Unknown"</formula>
    </cfRule>
  </conditionalFormatting>
  <conditionalFormatting sqref="T3:T500">
    <cfRule type="expression" dxfId="43" priority="2">
      <formula>AND($T3&lt;&gt;"",$T3&lt;TODAY())</formula>
    </cfRule>
    <cfRule type="expression" dxfId="42" priority="3">
      <formula>AND($T3&lt;&gt;"",$T3&gt;=TODAY(),$T3-TODAY()&lt;=365)</formula>
    </cfRule>
  </conditionalFormatting>
  <conditionalFormatting sqref="V3:V500">
    <cfRule type="expression" dxfId="41" priority="4">
      <formula>AND(ISNUMBER(V3),V3&lt;0)</formula>
    </cfRule>
    <cfRule type="expression" dxfId="40" priority="5">
      <formula>AND(ISNUMBER(V3),V3&gt;=0,V3&lt;=365)</formula>
    </cfRule>
  </conditionalFormatting>
  <conditionalFormatting sqref="W3:W500">
    <cfRule type="expression" dxfId="39" priority="6">
      <formula>ISNUMBER(SEARCH("PAST EOS",W3))</formula>
    </cfRule>
    <cfRule type="expression" dxfId="38" priority="7">
      <formula>ISNUMBER(SEARCH("within 12",W3))</formula>
    </cfRule>
  </conditionalFormatting>
  <dataValidations count="13">
    <dataValidation type="list" allowBlank="1" showErrorMessage="1" errorTitle="Invalid entry" error="Please choose a value from the drop-down list." sqref="E3:E500" xr:uid="{00000000-0002-0000-0200-000000000000}">
      <formula1>"CPE,PURL,SWID,OmniBOR,Other"</formula1>
      <formula2>0</formula2>
    </dataValidation>
    <dataValidation type="list" allowBlank="1" showErrorMessage="1" errorTitle="Invalid entry" error="Please choose a value from the drop-down list." sqref="G3:G500" xr:uid="{00000000-0002-0000-0200-000001000000}">
      <formula1>"Direct,Transitive"</formula1>
      <formula2>0</formula2>
    </dataValidation>
    <dataValidation type="list" allowBlank="1" showErrorMessage="1" errorTitle="Invalid entry" error="Please choose a value from the drop-down list." sqref="J3:J500" xr:uid="{00000000-0002-0000-0200-000002000000}">
      <formula1>"Application,Operating System,Library,Framework,Driver,Firmware,Middleware,Container/Image,Other"</formula1>
      <formula2>0</formula2>
    </dataValidation>
    <dataValidation type="list" allowBlank="1" showErrorMessage="1" errorTitle="Invalid entry" error="Please choose a value from the drop-down list." sqref="K3:K500" xr:uid="{00000000-0002-0000-0200-000003000000}">
      <formula1>"Commercial (COTS),Open-Source (OSS),Off-the-Shelf (OTS),Proprietary / In-house,Other"</formula1>
      <formula2>0</formula2>
    </dataValidation>
    <dataValidation type="list" allowBlank="1" showErrorMessage="1" errorTitle="Invalid entry" error="Please choose a value from the drop-down list." sqref="M3:M500" xr:uid="{00000000-0002-0000-0200-000004000000}">
      <formula1>"Runtime,Build-Time,Both"</formula1>
      <formula2>0</formula2>
    </dataValidation>
    <dataValidation type="list" allowBlank="1" showErrorMessage="1" errorTitle="Invalid entry" error="Please choose a value from the drop-down list." sqref="N3:N500" xr:uid="{00000000-0002-0000-0200-000005000000}">
      <formula1>"Low,Medium,High,Critical"</formula1>
      <formula2>0</formula2>
    </dataValidation>
    <dataValidation type="list" allowBlank="1" showErrorMessage="1" errorTitle="Invalid entry" error="Please choose a value from the drop-down list." sqref="O3:O500" xr:uid="{00000000-0002-0000-0200-000006000000}">
      <formula1>"None,Low,Medium,High"</formula1>
      <formula2>0</formula2>
    </dataValidation>
    <dataValidation type="list" allowBlank="1" showErrorMessage="1" errorTitle="Invalid entry" error="Please choose a value from the drop-down list." sqref="P3:P500" xr:uid="{00000000-0002-0000-0200-000007000000}">
      <formula1>"None,Indirect,Direct"</formula1>
      <formula2>0</formula2>
    </dataValidation>
    <dataValidation type="list" allowBlank="1" showErrorMessage="1" errorTitle="Invalid entry" error="Please choose a value from the drop-down list." sqref="Q3:Q500" xr:uid="{00000000-0002-0000-0200-000008000000}">
      <formula1>"Yes,No"</formula1>
      <formula2>0</formula2>
    </dataValidation>
    <dataValidation type="list" allowBlank="1" showErrorMessage="1" errorTitle="Invalid entry" error="Please choose a value from the drop-down list." sqref="R3:R500" xr:uid="{00000000-0002-0000-0200-000009000000}">
      <formula1>"Yes,No,Depends on Deployment"</formula1>
      <formula2>0</formula2>
    </dataValidation>
    <dataValidation type="list" allowBlank="1" showErrorMessage="1" errorTitle="Invalid entry" error="Please choose a value from the drop-down list." sqref="S3:S500" xr:uid="{00000000-0002-0000-0200-00000A000000}">
      <formula1>"Actively maintained,No longer maintained,Abandoned,Unknown"</formula1>
      <formula2>0</formula2>
    </dataValidation>
    <dataValidation type="list" allowBlank="1" showErrorMessage="1" errorTitle="Invalid entry" error="Please choose a value from the drop-down list." sqref="AA3:AA500" xr:uid="{00000000-0002-0000-0200-00000B000000}">
      <formula1>"Signed &amp; Verified,Signed - Not Verified,Unsigned,Not Applicable"</formula1>
      <formula2>0</formula2>
    </dataValidation>
    <dataValidation type="date" operator="greaterThan" allowBlank="1" showErrorMessage="1" errorTitle="Invalid date" error="Enter a real date (YYYY-MM-DD)." sqref="T3:U500" xr:uid="{00000000-0002-0000-0200-00000C000000}">
      <formula1>DATE(1990,1,1)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 &amp;K008000 Classification: Internal#_x000D_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XFD3"/>
    </sheetView>
  </sheetViews>
  <sheetFormatPr defaultColWidth="8.5703125" defaultRowHeight="15" x14ac:dyDescent="0.25"/>
  <cols>
    <col min="1" max="1" width="6" customWidth="1"/>
    <col min="2" max="2" width="20" customWidth="1"/>
    <col min="3" max="3" width="22" customWidth="1"/>
    <col min="4" max="4" width="20" customWidth="1"/>
    <col min="5" max="5" width="22" customWidth="1"/>
    <col min="6" max="6" width="30" customWidth="1"/>
    <col min="7" max="7" width="18" customWidth="1"/>
    <col min="8" max="9" width="14" customWidth="1"/>
    <col min="10" max="10" width="26" customWidth="1"/>
    <col min="11" max="11" width="14" customWidth="1"/>
    <col min="12" max="12" width="28" customWidth="1"/>
  </cols>
  <sheetData>
    <row r="1" spans="1:12" ht="30" customHeight="1" x14ac:dyDescent="0.25">
      <c r="A1" s="19" t="s">
        <v>274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26.1" customHeight="1" x14ac:dyDescent="0.25">
      <c r="A2" s="4" t="s">
        <v>8</v>
      </c>
      <c r="B2" s="4" t="s">
        <v>275</v>
      </c>
      <c r="C2" s="4" t="s">
        <v>276</v>
      </c>
      <c r="D2" s="4" t="s">
        <v>277</v>
      </c>
      <c r="E2" s="4" t="s">
        <v>278</v>
      </c>
      <c r="F2" s="4" t="s">
        <v>279</v>
      </c>
      <c r="G2" s="4" t="s">
        <v>26</v>
      </c>
      <c r="H2" s="4" t="s">
        <v>280</v>
      </c>
      <c r="I2" s="4" t="s">
        <v>281</v>
      </c>
      <c r="J2" s="4" t="s">
        <v>282</v>
      </c>
      <c r="K2" s="4" t="s">
        <v>23</v>
      </c>
      <c r="L2" s="4" t="s">
        <v>6</v>
      </c>
    </row>
    <row r="3" spans="1:12" ht="25.5" x14ac:dyDescent="0.25">
      <c r="A3" s="9">
        <v>1</v>
      </c>
      <c r="B3" s="9" t="s">
        <v>283</v>
      </c>
      <c r="C3" s="9" t="s">
        <v>284</v>
      </c>
      <c r="D3" s="9" t="s">
        <v>285</v>
      </c>
      <c r="E3" s="9" t="s">
        <v>41</v>
      </c>
      <c r="F3" s="9" t="s">
        <v>286</v>
      </c>
      <c r="G3" s="9" t="s">
        <v>287</v>
      </c>
      <c r="H3" s="18">
        <v>49059</v>
      </c>
      <c r="I3" s="18">
        <v>47269</v>
      </c>
      <c r="J3" s="9"/>
      <c r="K3" s="9"/>
      <c r="L3" s="9" t="s">
        <v>288</v>
      </c>
    </row>
    <row r="4" spans="1:12" ht="25.5" x14ac:dyDescent="0.25">
      <c r="A4" s="9">
        <v>2</v>
      </c>
      <c r="B4" s="9" t="s">
        <v>283</v>
      </c>
      <c r="C4" s="9" t="s">
        <v>289</v>
      </c>
      <c r="D4" s="9" t="s">
        <v>290</v>
      </c>
      <c r="E4" s="9" t="s">
        <v>41</v>
      </c>
      <c r="F4" s="9" t="s">
        <v>291</v>
      </c>
      <c r="G4" s="9" t="s">
        <v>287</v>
      </c>
      <c r="H4" s="18">
        <v>49059</v>
      </c>
      <c r="I4" s="18">
        <v>47269</v>
      </c>
      <c r="J4" s="9"/>
      <c r="K4" s="9"/>
      <c r="L4" s="9" t="s">
        <v>288</v>
      </c>
    </row>
    <row r="5" spans="1:12" ht="25.5" x14ac:dyDescent="0.25">
      <c r="A5" s="9">
        <v>3</v>
      </c>
      <c r="B5" s="9" t="s">
        <v>283</v>
      </c>
      <c r="C5" s="9" t="s">
        <v>292</v>
      </c>
      <c r="D5" s="9" t="s">
        <v>293</v>
      </c>
      <c r="E5" s="9" t="s">
        <v>41</v>
      </c>
      <c r="F5" s="9" t="s">
        <v>294</v>
      </c>
      <c r="G5" s="9" t="s">
        <v>287</v>
      </c>
      <c r="H5" s="18">
        <v>49059</v>
      </c>
      <c r="I5" s="18">
        <v>47269</v>
      </c>
      <c r="J5" s="9"/>
      <c r="K5" s="9"/>
      <c r="L5" s="9" t="s">
        <v>288</v>
      </c>
    </row>
    <row r="6" spans="1:12" ht="38.25" x14ac:dyDescent="0.25">
      <c r="A6" s="9">
        <v>4</v>
      </c>
      <c r="B6" s="9" t="s">
        <v>283</v>
      </c>
      <c r="C6" s="9" t="s">
        <v>295</v>
      </c>
      <c r="D6" s="9" t="s">
        <v>293</v>
      </c>
      <c r="E6" s="9" t="s">
        <v>41</v>
      </c>
      <c r="F6" s="9" t="s">
        <v>296</v>
      </c>
      <c r="G6" s="9" t="s">
        <v>287</v>
      </c>
      <c r="H6" s="18">
        <v>49059</v>
      </c>
      <c r="I6" s="18">
        <v>47269</v>
      </c>
      <c r="J6" s="9"/>
      <c r="K6" s="9"/>
      <c r="L6" s="9" t="s">
        <v>288</v>
      </c>
    </row>
    <row r="7" spans="1:12" ht="38.25" x14ac:dyDescent="0.25">
      <c r="A7" s="9">
        <v>5</v>
      </c>
      <c r="B7" s="9" t="s">
        <v>283</v>
      </c>
      <c r="C7" s="9" t="s">
        <v>297</v>
      </c>
      <c r="D7" s="9" t="s">
        <v>293</v>
      </c>
      <c r="E7" s="9" t="s">
        <v>41</v>
      </c>
      <c r="F7" s="9" t="s">
        <v>298</v>
      </c>
      <c r="G7" s="9" t="s">
        <v>287</v>
      </c>
      <c r="H7" s="18">
        <v>49059</v>
      </c>
      <c r="I7" s="18">
        <v>47269</v>
      </c>
      <c r="J7" s="9"/>
      <c r="K7" s="9"/>
      <c r="L7" s="9" t="s">
        <v>288</v>
      </c>
    </row>
    <row r="8" spans="1:12" ht="38.25" x14ac:dyDescent="0.25">
      <c r="A8" s="9">
        <v>6</v>
      </c>
      <c r="B8" s="9" t="s">
        <v>283</v>
      </c>
      <c r="C8" s="9" t="s">
        <v>299</v>
      </c>
      <c r="D8" s="9" t="s">
        <v>300</v>
      </c>
      <c r="E8" s="9" t="s">
        <v>41</v>
      </c>
      <c r="F8" s="9" t="s">
        <v>301</v>
      </c>
      <c r="G8" s="9" t="s">
        <v>287</v>
      </c>
      <c r="H8" s="18">
        <v>49059</v>
      </c>
      <c r="I8" s="18">
        <v>47269</v>
      </c>
      <c r="J8" s="9"/>
      <c r="K8" s="9"/>
      <c r="L8" s="9" t="s">
        <v>288</v>
      </c>
    </row>
    <row r="9" spans="1:12" ht="51" x14ac:dyDescent="0.25">
      <c r="A9" s="9">
        <v>7</v>
      </c>
      <c r="B9" s="9" t="s">
        <v>283</v>
      </c>
      <c r="C9" s="9" t="s">
        <v>302</v>
      </c>
      <c r="D9" s="9" t="s">
        <v>303</v>
      </c>
      <c r="E9" s="9" t="s">
        <v>41</v>
      </c>
      <c r="F9" s="9" t="s">
        <v>304</v>
      </c>
      <c r="G9" s="9" t="s">
        <v>287</v>
      </c>
      <c r="H9" s="18">
        <v>49059</v>
      </c>
      <c r="I9" s="18">
        <v>47269</v>
      </c>
      <c r="J9" s="9"/>
      <c r="K9" s="9"/>
      <c r="L9" s="9" t="s">
        <v>288</v>
      </c>
    </row>
    <row r="10" spans="1:12" ht="38.25" x14ac:dyDescent="0.25">
      <c r="A10" s="9">
        <v>8</v>
      </c>
      <c r="B10" s="9" t="s">
        <v>283</v>
      </c>
      <c r="C10" s="9" t="s">
        <v>305</v>
      </c>
      <c r="D10" s="9" t="s">
        <v>303</v>
      </c>
      <c r="E10" s="9" t="s">
        <v>41</v>
      </c>
      <c r="F10" s="9" t="s">
        <v>306</v>
      </c>
      <c r="G10" s="9" t="s">
        <v>287</v>
      </c>
      <c r="H10" s="18">
        <v>49059</v>
      </c>
      <c r="I10" s="18">
        <v>47269</v>
      </c>
      <c r="J10" s="9"/>
      <c r="K10" s="9"/>
      <c r="L10" s="9" t="s">
        <v>288</v>
      </c>
    </row>
    <row r="11" spans="1:12" ht="38.25" x14ac:dyDescent="0.25">
      <c r="A11" s="9">
        <v>9</v>
      </c>
      <c r="B11" s="9" t="s">
        <v>283</v>
      </c>
      <c r="C11" s="9" t="s">
        <v>307</v>
      </c>
      <c r="D11" s="9" t="s">
        <v>308</v>
      </c>
      <c r="E11" s="9" t="s">
        <v>41</v>
      </c>
      <c r="F11" s="9" t="s">
        <v>309</v>
      </c>
      <c r="G11" s="9" t="s">
        <v>287</v>
      </c>
      <c r="H11" s="18">
        <v>49059</v>
      </c>
      <c r="I11" s="18">
        <v>47269</v>
      </c>
      <c r="J11" s="9"/>
      <c r="K11" s="9"/>
      <c r="L11" s="9" t="s">
        <v>288</v>
      </c>
    </row>
    <row r="12" spans="1:12" ht="38.25" x14ac:dyDescent="0.25">
      <c r="A12" s="9">
        <v>10</v>
      </c>
      <c r="B12" s="9" t="s">
        <v>283</v>
      </c>
      <c r="C12" s="9" t="s">
        <v>310</v>
      </c>
      <c r="D12" s="9" t="s">
        <v>311</v>
      </c>
      <c r="E12" s="9" t="s">
        <v>41</v>
      </c>
      <c r="F12" s="9" t="s">
        <v>312</v>
      </c>
      <c r="G12" s="9" t="s">
        <v>287</v>
      </c>
      <c r="H12" s="18">
        <v>49059</v>
      </c>
      <c r="I12" s="18">
        <v>47269</v>
      </c>
      <c r="J12" s="9"/>
      <c r="K12" s="9"/>
      <c r="L12" s="9" t="s">
        <v>288</v>
      </c>
    </row>
    <row r="13" spans="1:12" ht="25.5" x14ac:dyDescent="0.25">
      <c r="A13" s="9">
        <v>11</v>
      </c>
      <c r="B13" s="9" t="s">
        <v>283</v>
      </c>
      <c r="C13" s="9" t="s">
        <v>313</v>
      </c>
      <c r="D13" s="9" t="s">
        <v>314</v>
      </c>
      <c r="E13" s="9" t="s">
        <v>41</v>
      </c>
      <c r="F13" s="9" t="s">
        <v>315</v>
      </c>
      <c r="G13" s="9" t="s">
        <v>287</v>
      </c>
      <c r="H13" s="18">
        <v>49059</v>
      </c>
      <c r="I13" s="18">
        <v>47269</v>
      </c>
      <c r="J13" s="9"/>
      <c r="K13" s="9"/>
      <c r="L13" s="9" t="s">
        <v>288</v>
      </c>
    </row>
    <row r="14" spans="1:12" ht="51" x14ac:dyDescent="0.25">
      <c r="A14" s="9">
        <v>12</v>
      </c>
      <c r="B14" s="9" t="s">
        <v>283</v>
      </c>
      <c r="C14" s="9" t="s">
        <v>316</v>
      </c>
      <c r="D14" s="9" t="s">
        <v>317</v>
      </c>
      <c r="E14" s="9" t="s">
        <v>41</v>
      </c>
      <c r="F14" s="9" t="s">
        <v>318</v>
      </c>
      <c r="G14" s="9" t="s">
        <v>287</v>
      </c>
      <c r="H14" s="18">
        <v>49059</v>
      </c>
      <c r="I14" s="18">
        <v>47269</v>
      </c>
      <c r="J14" s="9"/>
      <c r="K14" s="9"/>
      <c r="L14" s="9" t="s">
        <v>288</v>
      </c>
    </row>
    <row r="15" spans="1:12" ht="38.25" x14ac:dyDescent="0.25">
      <c r="A15" s="9">
        <v>13</v>
      </c>
      <c r="B15" s="9" t="s">
        <v>283</v>
      </c>
      <c r="C15" s="9" t="s">
        <v>319</v>
      </c>
      <c r="D15" s="9" t="s">
        <v>320</v>
      </c>
      <c r="E15" s="9" t="s">
        <v>41</v>
      </c>
      <c r="F15" s="9" t="s">
        <v>321</v>
      </c>
      <c r="G15" s="9" t="s">
        <v>287</v>
      </c>
      <c r="H15" s="18">
        <v>49059</v>
      </c>
      <c r="I15" s="18">
        <v>47269</v>
      </c>
      <c r="J15" s="9"/>
      <c r="K15" s="9"/>
      <c r="L15" s="9" t="s">
        <v>288</v>
      </c>
    </row>
    <row r="16" spans="1:12" ht="38.25" x14ac:dyDescent="0.25">
      <c r="A16" s="9">
        <v>14</v>
      </c>
      <c r="B16" s="9" t="s">
        <v>283</v>
      </c>
      <c r="C16" s="9" t="s">
        <v>322</v>
      </c>
      <c r="D16" s="9" t="s">
        <v>323</v>
      </c>
      <c r="E16" s="9" t="s">
        <v>41</v>
      </c>
      <c r="F16" s="9" t="s">
        <v>324</v>
      </c>
      <c r="G16" s="9" t="s">
        <v>287</v>
      </c>
      <c r="H16" s="18">
        <v>49059</v>
      </c>
      <c r="I16" s="18">
        <v>47269</v>
      </c>
      <c r="J16" s="9"/>
      <c r="K16" s="9"/>
      <c r="L16" s="9" t="s">
        <v>288</v>
      </c>
    </row>
    <row r="17" spans="1:12" ht="38.25" x14ac:dyDescent="0.25">
      <c r="A17" s="9">
        <v>15</v>
      </c>
      <c r="B17" s="9" t="s">
        <v>283</v>
      </c>
      <c r="C17" s="9" t="s">
        <v>325</v>
      </c>
      <c r="D17" s="9" t="s">
        <v>326</v>
      </c>
      <c r="E17" s="9" t="s">
        <v>41</v>
      </c>
      <c r="F17" s="9" t="s">
        <v>327</v>
      </c>
      <c r="G17" s="9" t="s">
        <v>287</v>
      </c>
      <c r="H17" s="18">
        <v>49059</v>
      </c>
      <c r="I17" s="18">
        <v>47269</v>
      </c>
      <c r="J17" s="9"/>
      <c r="K17" s="9"/>
      <c r="L17" s="9" t="s">
        <v>288</v>
      </c>
    </row>
    <row r="18" spans="1:12" ht="38.25" x14ac:dyDescent="0.25">
      <c r="A18" s="9">
        <v>16</v>
      </c>
      <c r="B18" s="9" t="s">
        <v>283</v>
      </c>
      <c r="C18" s="9" t="s">
        <v>328</v>
      </c>
      <c r="D18" s="9" t="s">
        <v>329</v>
      </c>
      <c r="E18" s="9" t="s">
        <v>41</v>
      </c>
      <c r="F18" s="9" t="s">
        <v>330</v>
      </c>
      <c r="G18" s="9" t="s">
        <v>287</v>
      </c>
      <c r="H18" s="18">
        <v>49059</v>
      </c>
      <c r="I18" s="18">
        <v>47269</v>
      </c>
      <c r="J18" s="9"/>
      <c r="K18" s="9"/>
      <c r="L18" s="9" t="s">
        <v>288</v>
      </c>
    </row>
    <row r="19" spans="1:12" ht="38.25" x14ac:dyDescent="0.25">
      <c r="A19" s="9">
        <v>17</v>
      </c>
      <c r="B19" s="9" t="s">
        <v>283</v>
      </c>
      <c r="C19" s="9" t="s">
        <v>331</v>
      </c>
      <c r="D19" s="9" t="s">
        <v>332</v>
      </c>
      <c r="E19" s="9" t="s">
        <v>41</v>
      </c>
      <c r="F19" s="9" t="s">
        <v>333</v>
      </c>
      <c r="G19" s="9" t="s">
        <v>287</v>
      </c>
      <c r="H19" s="18">
        <v>49059</v>
      </c>
      <c r="I19" s="18">
        <v>47269</v>
      </c>
      <c r="J19" s="9" t="s">
        <v>334</v>
      </c>
      <c r="K19" s="9"/>
      <c r="L19" s="9" t="s">
        <v>288</v>
      </c>
    </row>
    <row r="20" spans="1:12" ht="38.25" x14ac:dyDescent="0.25">
      <c r="A20" s="9">
        <v>18</v>
      </c>
      <c r="B20" s="9" t="s">
        <v>283</v>
      </c>
      <c r="C20" s="9" t="s">
        <v>335</v>
      </c>
      <c r="D20" s="9" t="s">
        <v>336</v>
      </c>
      <c r="E20" s="9" t="s">
        <v>41</v>
      </c>
      <c r="F20" s="9" t="s">
        <v>337</v>
      </c>
      <c r="G20" s="9" t="s">
        <v>287</v>
      </c>
      <c r="H20" s="18">
        <v>49059</v>
      </c>
      <c r="I20" s="18">
        <v>47269</v>
      </c>
      <c r="J20" s="9"/>
      <c r="K20" s="9"/>
      <c r="L20" s="9" t="s">
        <v>288</v>
      </c>
    </row>
    <row r="21" spans="1:12" ht="38.25" x14ac:dyDescent="0.25">
      <c r="A21" s="9">
        <v>19</v>
      </c>
      <c r="B21" s="9" t="s">
        <v>283</v>
      </c>
      <c r="C21" s="9" t="s">
        <v>338</v>
      </c>
      <c r="D21" s="9" t="s">
        <v>339</v>
      </c>
      <c r="E21" s="9" t="s">
        <v>41</v>
      </c>
      <c r="F21" s="9" t="s">
        <v>340</v>
      </c>
      <c r="G21" s="9" t="s">
        <v>287</v>
      </c>
      <c r="H21" s="18">
        <v>49059</v>
      </c>
      <c r="I21" s="18">
        <v>47269</v>
      </c>
      <c r="J21" s="9"/>
      <c r="K21" s="9"/>
      <c r="L21" s="9" t="s">
        <v>288</v>
      </c>
    </row>
    <row r="22" spans="1:12" ht="38.25" x14ac:dyDescent="0.25">
      <c r="A22" s="9">
        <v>20</v>
      </c>
      <c r="B22" s="9" t="s">
        <v>283</v>
      </c>
      <c r="C22" s="9" t="s">
        <v>341</v>
      </c>
      <c r="D22" s="9" t="s">
        <v>339</v>
      </c>
      <c r="E22" s="9" t="s">
        <v>41</v>
      </c>
      <c r="F22" s="9" t="s">
        <v>342</v>
      </c>
      <c r="G22" s="9" t="s">
        <v>287</v>
      </c>
      <c r="H22" s="18">
        <v>49059</v>
      </c>
      <c r="I22" s="18">
        <v>47269</v>
      </c>
      <c r="J22" s="9"/>
      <c r="K22" s="9"/>
      <c r="L22" s="9" t="s">
        <v>288</v>
      </c>
    </row>
    <row r="23" spans="1:12" ht="38.25" x14ac:dyDescent="0.25">
      <c r="A23" s="9">
        <v>21</v>
      </c>
      <c r="B23" s="9" t="s">
        <v>283</v>
      </c>
      <c r="C23" s="9" t="s">
        <v>343</v>
      </c>
      <c r="D23" s="9" t="s">
        <v>339</v>
      </c>
      <c r="E23" s="9" t="s">
        <v>41</v>
      </c>
      <c r="F23" s="9" t="s">
        <v>344</v>
      </c>
      <c r="G23" s="9" t="s">
        <v>287</v>
      </c>
      <c r="H23" s="18">
        <v>49059</v>
      </c>
      <c r="I23" s="18">
        <v>47269</v>
      </c>
      <c r="J23" s="9"/>
      <c r="K23" s="9"/>
      <c r="L23" s="9" t="s">
        <v>288</v>
      </c>
    </row>
    <row r="24" spans="1:12" ht="51" x14ac:dyDescent="0.25">
      <c r="A24" s="9">
        <v>22</v>
      </c>
      <c r="B24" s="9" t="s">
        <v>283</v>
      </c>
      <c r="C24" s="9" t="s">
        <v>345</v>
      </c>
      <c r="D24" s="9" t="s">
        <v>339</v>
      </c>
      <c r="E24" s="9" t="s">
        <v>41</v>
      </c>
      <c r="F24" s="9" t="s">
        <v>346</v>
      </c>
      <c r="G24" s="9" t="s">
        <v>287</v>
      </c>
      <c r="H24" s="18">
        <v>49059</v>
      </c>
      <c r="I24" s="18">
        <v>47269</v>
      </c>
      <c r="J24" s="9"/>
      <c r="K24" s="9"/>
      <c r="L24" s="9" t="s">
        <v>288</v>
      </c>
    </row>
    <row r="25" spans="1:12" ht="51" x14ac:dyDescent="0.25">
      <c r="A25" s="9">
        <v>23</v>
      </c>
      <c r="B25" s="9" t="s">
        <v>283</v>
      </c>
      <c r="C25" s="9" t="s">
        <v>347</v>
      </c>
      <c r="D25" s="9" t="s">
        <v>348</v>
      </c>
      <c r="E25" s="9" t="s">
        <v>41</v>
      </c>
      <c r="F25" s="9" t="s">
        <v>349</v>
      </c>
      <c r="G25" s="9" t="s">
        <v>287</v>
      </c>
      <c r="H25" s="18">
        <v>49059</v>
      </c>
      <c r="I25" s="18">
        <v>47269</v>
      </c>
      <c r="J25" s="9"/>
      <c r="K25" s="9"/>
      <c r="L25" s="9" t="s">
        <v>288</v>
      </c>
    </row>
    <row r="26" spans="1:12" ht="51" x14ac:dyDescent="0.25">
      <c r="A26" s="9">
        <v>24</v>
      </c>
      <c r="B26" s="9" t="s">
        <v>283</v>
      </c>
      <c r="C26" s="9" t="s">
        <v>350</v>
      </c>
      <c r="D26" s="9" t="s">
        <v>348</v>
      </c>
      <c r="E26" s="9" t="s">
        <v>41</v>
      </c>
      <c r="F26" s="9" t="s">
        <v>351</v>
      </c>
      <c r="G26" s="9" t="s">
        <v>287</v>
      </c>
      <c r="H26" s="18">
        <v>49059</v>
      </c>
      <c r="I26" s="18">
        <v>47269</v>
      </c>
      <c r="J26" s="9"/>
      <c r="K26" s="9"/>
      <c r="L26" s="9" t="s">
        <v>288</v>
      </c>
    </row>
    <row r="27" spans="1:12" ht="38.25" x14ac:dyDescent="0.25">
      <c r="A27" s="9">
        <v>25</v>
      </c>
      <c r="B27" s="9" t="s">
        <v>283</v>
      </c>
      <c r="C27" s="9" t="s">
        <v>352</v>
      </c>
      <c r="D27" s="9" t="s">
        <v>336</v>
      </c>
      <c r="E27" s="9" t="s">
        <v>41</v>
      </c>
      <c r="F27" s="9" t="s">
        <v>353</v>
      </c>
      <c r="G27" s="9" t="s">
        <v>287</v>
      </c>
      <c r="H27" s="18">
        <v>49059</v>
      </c>
      <c r="I27" s="18">
        <v>47269</v>
      </c>
      <c r="J27" s="9"/>
      <c r="K27" s="9"/>
      <c r="L27" s="9" t="s">
        <v>288</v>
      </c>
    </row>
    <row r="28" spans="1:12" ht="38.25" x14ac:dyDescent="0.25">
      <c r="A28" s="9">
        <v>26</v>
      </c>
      <c r="B28" s="9" t="s">
        <v>283</v>
      </c>
      <c r="C28" s="9" t="s">
        <v>354</v>
      </c>
      <c r="D28" s="9" t="s">
        <v>336</v>
      </c>
      <c r="E28" s="9" t="s">
        <v>41</v>
      </c>
      <c r="F28" s="9" t="s">
        <v>355</v>
      </c>
      <c r="G28" s="9" t="s">
        <v>287</v>
      </c>
      <c r="H28" s="18">
        <v>49059</v>
      </c>
      <c r="I28" s="18">
        <v>47269</v>
      </c>
      <c r="J28" s="9"/>
      <c r="K28" s="9"/>
      <c r="L28" s="9" t="s">
        <v>288</v>
      </c>
    </row>
    <row r="29" spans="1:12" ht="38.25" x14ac:dyDescent="0.25">
      <c r="A29" s="9">
        <v>27</v>
      </c>
      <c r="B29" s="9" t="s">
        <v>283</v>
      </c>
      <c r="C29" s="9" t="s">
        <v>356</v>
      </c>
      <c r="D29" s="9" t="s">
        <v>336</v>
      </c>
      <c r="E29" s="9" t="s">
        <v>41</v>
      </c>
      <c r="F29" s="9" t="s">
        <v>357</v>
      </c>
      <c r="G29" s="9" t="s">
        <v>287</v>
      </c>
      <c r="H29" s="18">
        <v>49059</v>
      </c>
      <c r="I29" s="18">
        <v>47269</v>
      </c>
      <c r="J29" s="9"/>
      <c r="K29" s="9"/>
      <c r="L29" s="9" t="s">
        <v>288</v>
      </c>
    </row>
    <row r="30" spans="1:12" ht="38.25" x14ac:dyDescent="0.25">
      <c r="A30" s="9">
        <v>28</v>
      </c>
      <c r="B30" s="9" t="s">
        <v>283</v>
      </c>
      <c r="C30" s="9" t="s">
        <v>358</v>
      </c>
      <c r="D30" s="9" t="s">
        <v>336</v>
      </c>
      <c r="E30" s="9" t="s">
        <v>41</v>
      </c>
      <c r="F30" s="9" t="s">
        <v>359</v>
      </c>
      <c r="G30" s="9" t="s">
        <v>287</v>
      </c>
      <c r="H30" s="18">
        <v>49059</v>
      </c>
      <c r="I30" s="18">
        <v>47269</v>
      </c>
      <c r="J30" s="9"/>
      <c r="K30" s="9"/>
      <c r="L30" s="9" t="s">
        <v>288</v>
      </c>
    </row>
    <row r="31" spans="1:12" ht="38.25" x14ac:dyDescent="0.25">
      <c r="A31" s="9">
        <v>29</v>
      </c>
      <c r="B31" s="9" t="s">
        <v>283</v>
      </c>
      <c r="C31" s="9" t="s">
        <v>360</v>
      </c>
      <c r="D31" s="9" t="s">
        <v>336</v>
      </c>
      <c r="E31" s="9" t="s">
        <v>41</v>
      </c>
      <c r="F31" s="9" t="s">
        <v>361</v>
      </c>
      <c r="G31" s="9" t="s">
        <v>287</v>
      </c>
      <c r="H31" s="18">
        <v>49059</v>
      </c>
      <c r="I31" s="18">
        <v>47269</v>
      </c>
      <c r="J31" s="9"/>
      <c r="K31" s="9"/>
      <c r="L31" s="9" t="s">
        <v>288</v>
      </c>
    </row>
    <row r="32" spans="1:12" ht="25.5" x14ac:dyDescent="0.25">
      <c r="A32" s="9">
        <v>30</v>
      </c>
      <c r="B32" s="9" t="s">
        <v>283</v>
      </c>
      <c r="C32" s="9" t="s">
        <v>362</v>
      </c>
      <c r="D32" s="9" t="s">
        <v>363</v>
      </c>
      <c r="E32" s="9" t="s">
        <v>41</v>
      </c>
      <c r="F32" s="9" t="s">
        <v>364</v>
      </c>
      <c r="G32" s="9" t="s">
        <v>287</v>
      </c>
      <c r="H32" s="18">
        <v>49059</v>
      </c>
      <c r="I32" s="18">
        <v>47269</v>
      </c>
      <c r="J32" s="9"/>
      <c r="K32" s="9"/>
      <c r="L32" s="9" t="s">
        <v>288</v>
      </c>
    </row>
    <row r="33" spans="1:12" ht="38.25" x14ac:dyDescent="0.25">
      <c r="A33" s="9">
        <v>31</v>
      </c>
      <c r="B33" s="9" t="s">
        <v>283</v>
      </c>
      <c r="C33" s="9" t="s">
        <v>365</v>
      </c>
      <c r="D33" s="9" t="s">
        <v>336</v>
      </c>
      <c r="E33" s="9" t="s">
        <v>41</v>
      </c>
      <c r="F33" s="9" t="s">
        <v>366</v>
      </c>
      <c r="G33" s="9" t="s">
        <v>287</v>
      </c>
      <c r="H33" s="18">
        <v>49059</v>
      </c>
      <c r="I33" s="18">
        <v>47269</v>
      </c>
      <c r="J33" s="9"/>
      <c r="K33" s="9"/>
      <c r="L33" s="9" t="s">
        <v>288</v>
      </c>
    </row>
    <row r="34" spans="1:12" ht="38.25" x14ac:dyDescent="0.25">
      <c r="A34" s="9">
        <v>32</v>
      </c>
      <c r="B34" s="9" t="s">
        <v>283</v>
      </c>
      <c r="C34" s="9" t="s">
        <v>367</v>
      </c>
      <c r="D34" s="9" t="s">
        <v>368</v>
      </c>
      <c r="E34" s="9" t="s">
        <v>41</v>
      </c>
      <c r="F34" s="9" t="s">
        <v>369</v>
      </c>
      <c r="G34" s="9" t="s">
        <v>287</v>
      </c>
      <c r="H34" s="18">
        <v>49059</v>
      </c>
      <c r="I34" s="18">
        <v>47269</v>
      </c>
      <c r="J34" s="9"/>
      <c r="K34" s="9"/>
      <c r="L34" s="9" t="s">
        <v>288</v>
      </c>
    </row>
    <row r="35" spans="1:12" ht="38.25" x14ac:dyDescent="0.25">
      <c r="A35" s="9">
        <v>33</v>
      </c>
      <c r="B35" s="9" t="s">
        <v>283</v>
      </c>
      <c r="C35" s="9" t="s">
        <v>370</v>
      </c>
      <c r="D35" s="9" t="s">
        <v>336</v>
      </c>
      <c r="E35" s="9" t="s">
        <v>41</v>
      </c>
      <c r="F35" s="9" t="s">
        <v>371</v>
      </c>
      <c r="G35" s="9" t="s">
        <v>287</v>
      </c>
      <c r="H35" s="18">
        <v>49059</v>
      </c>
      <c r="I35" s="18">
        <v>47269</v>
      </c>
      <c r="J35" s="9"/>
      <c r="K35" s="9"/>
      <c r="L35" s="9" t="s">
        <v>288</v>
      </c>
    </row>
    <row r="36" spans="1:12" ht="38.25" x14ac:dyDescent="0.25">
      <c r="A36" s="9">
        <v>34</v>
      </c>
      <c r="B36" s="9" t="s">
        <v>283</v>
      </c>
      <c r="C36" s="9" t="s">
        <v>372</v>
      </c>
      <c r="D36" s="9" t="s">
        <v>373</v>
      </c>
      <c r="E36" s="9" t="s">
        <v>41</v>
      </c>
      <c r="F36" s="9" t="s">
        <v>374</v>
      </c>
      <c r="G36" s="9" t="s">
        <v>287</v>
      </c>
      <c r="H36" s="18">
        <v>49059</v>
      </c>
      <c r="I36" s="18">
        <v>47269</v>
      </c>
      <c r="J36" s="9"/>
      <c r="K36" s="9"/>
      <c r="L36" s="9" t="s">
        <v>288</v>
      </c>
    </row>
    <row r="37" spans="1:12" ht="38.25" x14ac:dyDescent="0.25">
      <c r="A37" s="9">
        <v>35</v>
      </c>
      <c r="B37" s="9" t="s">
        <v>283</v>
      </c>
      <c r="C37" s="9" t="s">
        <v>375</v>
      </c>
      <c r="D37" s="9" t="s">
        <v>373</v>
      </c>
      <c r="E37" s="9" t="s">
        <v>41</v>
      </c>
      <c r="F37" s="9" t="s">
        <v>376</v>
      </c>
      <c r="G37" s="9" t="s">
        <v>287</v>
      </c>
      <c r="H37" s="18">
        <v>49059</v>
      </c>
      <c r="I37" s="18">
        <v>47269</v>
      </c>
      <c r="J37" s="9"/>
      <c r="K37" s="9"/>
      <c r="L37" s="9" t="s">
        <v>288</v>
      </c>
    </row>
    <row r="38" spans="1:12" ht="38.25" x14ac:dyDescent="0.25">
      <c r="A38" s="9">
        <v>36</v>
      </c>
      <c r="B38" s="9" t="s">
        <v>283</v>
      </c>
      <c r="C38" s="9" t="s">
        <v>377</v>
      </c>
      <c r="D38" s="9" t="s">
        <v>336</v>
      </c>
      <c r="E38" s="9" t="s">
        <v>41</v>
      </c>
      <c r="F38" s="9" t="s">
        <v>378</v>
      </c>
      <c r="G38" s="9" t="s">
        <v>287</v>
      </c>
      <c r="H38" s="18">
        <v>49059</v>
      </c>
      <c r="I38" s="18">
        <v>47269</v>
      </c>
      <c r="J38" s="9"/>
      <c r="K38" s="9"/>
      <c r="L38" s="9" t="s">
        <v>288</v>
      </c>
    </row>
    <row r="39" spans="1:12" ht="38.25" x14ac:dyDescent="0.25">
      <c r="A39" s="9">
        <v>37</v>
      </c>
      <c r="B39" s="9" t="s">
        <v>283</v>
      </c>
      <c r="C39" s="9" t="s">
        <v>379</v>
      </c>
      <c r="D39" s="9" t="s">
        <v>336</v>
      </c>
      <c r="E39" s="9" t="s">
        <v>41</v>
      </c>
      <c r="F39" s="9" t="s">
        <v>380</v>
      </c>
      <c r="G39" s="9" t="s">
        <v>287</v>
      </c>
      <c r="H39" s="18">
        <v>49059</v>
      </c>
      <c r="I39" s="18">
        <v>47269</v>
      </c>
      <c r="J39" s="9"/>
      <c r="K39" s="9"/>
      <c r="L39" s="9" t="s">
        <v>288</v>
      </c>
    </row>
    <row r="40" spans="1:12" ht="38.25" x14ac:dyDescent="0.25">
      <c r="A40" s="9">
        <v>38</v>
      </c>
      <c r="B40" s="9" t="s">
        <v>283</v>
      </c>
      <c r="C40" s="9" t="s">
        <v>381</v>
      </c>
      <c r="D40" s="9" t="s">
        <v>382</v>
      </c>
      <c r="E40" s="9" t="s">
        <v>41</v>
      </c>
      <c r="F40" s="9" t="s">
        <v>383</v>
      </c>
      <c r="G40" s="9" t="s">
        <v>287</v>
      </c>
      <c r="H40" s="18">
        <v>49059</v>
      </c>
      <c r="I40" s="18">
        <v>47269</v>
      </c>
      <c r="J40" s="9"/>
      <c r="K40" s="9"/>
      <c r="L40" s="9" t="s">
        <v>288</v>
      </c>
    </row>
    <row r="41" spans="1:12" ht="51" x14ac:dyDescent="0.25">
      <c r="A41" s="9">
        <v>39</v>
      </c>
      <c r="B41" s="9" t="s">
        <v>283</v>
      </c>
      <c r="C41" s="9" t="s">
        <v>384</v>
      </c>
      <c r="D41" s="9" t="s">
        <v>382</v>
      </c>
      <c r="E41" s="9" t="s">
        <v>41</v>
      </c>
      <c r="F41" s="9" t="s">
        <v>385</v>
      </c>
      <c r="G41" s="9" t="s">
        <v>287</v>
      </c>
      <c r="H41" s="18">
        <v>49059</v>
      </c>
      <c r="I41" s="18">
        <v>47269</v>
      </c>
      <c r="J41" s="9"/>
      <c r="K41" s="9"/>
      <c r="L41" s="9" t="s">
        <v>288</v>
      </c>
    </row>
    <row r="42" spans="1:12" ht="51" x14ac:dyDescent="0.25">
      <c r="A42" s="9">
        <v>40</v>
      </c>
      <c r="B42" s="9" t="s">
        <v>283</v>
      </c>
      <c r="C42" s="9" t="s">
        <v>386</v>
      </c>
      <c r="D42" s="9" t="s">
        <v>382</v>
      </c>
      <c r="E42" s="9" t="s">
        <v>41</v>
      </c>
      <c r="F42" s="9" t="s">
        <v>387</v>
      </c>
      <c r="G42" s="9" t="s">
        <v>287</v>
      </c>
      <c r="H42" s="18">
        <v>49059</v>
      </c>
      <c r="I42" s="18">
        <v>47269</v>
      </c>
      <c r="J42" s="9"/>
      <c r="K42" s="9"/>
      <c r="L42" s="9" t="s">
        <v>288</v>
      </c>
    </row>
    <row r="43" spans="1:12" ht="153" x14ac:dyDescent="0.25">
      <c r="A43" s="9">
        <v>41</v>
      </c>
      <c r="B43" s="9" t="s">
        <v>283</v>
      </c>
      <c r="C43" s="9" t="s">
        <v>388</v>
      </c>
      <c r="D43" s="9" t="s">
        <v>389</v>
      </c>
      <c r="E43" s="9" t="s">
        <v>41</v>
      </c>
      <c r="F43" s="9" t="s">
        <v>390</v>
      </c>
      <c r="G43" s="9" t="s">
        <v>287</v>
      </c>
      <c r="H43" s="18">
        <v>49059</v>
      </c>
      <c r="I43" s="18">
        <v>47269</v>
      </c>
      <c r="J43" s="9" t="s">
        <v>391</v>
      </c>
      <c r="K43" s="9"/>
      <c r="L43" s="9" t="s">
        <v>288</v>
      </c>
    </row>
    <row r="44" spans="1:12" ht="51" x14ac:dyDescent="0.25">
      <c r="A44" s="9">
        <v>42</v>
      </c>
      <c r="B44" s="9" t="s">
        <v>283</v>
      </c>
      <c r="C44" s="9" t="s">
        <v>392</v>
      </c>
      <c r="D44" s="9" t="s">
        <v>389</v>
      </c>
      <c r="E44" s="9" t="s">
        <v>41</v>
      </c>
      <c r="F44" s="9" t="s">
        <v>393</v>
      </c>
      <c r="G44" s="9" t="s">
        <v>287</v>
      </c>
      <c r="H44" s="18">
        <v>49059</v>
      </c>
      <c r="I44" s="18">
        <v>47269</v>
      </c>
      <c r="J44" s="9"/>
      <c r="K44" s="9"/>
      <c r="L44" s="9" t="s">
        <v>288</v>
      </c>
    </row>
    <row r="45" spans="1:12" ht="38.25" x14ac:dyDescent="0.25">
      <c r="A45" s="9">
        <v>43</v>
      </c>
      <c r="B45" s="9" t="s">
        <v>283</v>
      </c>
      <c r="C45" s="9" t="s">
        <v>394</v>
      </c>
      <c r="D45" s="9" t="s">
        <v>389</v>
      </c>
      <c r="E45" s="9" t="s">
        <v>41</v>
      </c>
      <c r="F45" s="9" t="s">
        <v>395</v>
      </c>
      <c r="G45" s="9" t="s">
        <v>287</v>
      </c>
      <c r="H45" s="18">
        <v>49059</v>
      </c>
      <c r="I45" s="18">
        <v>47269</v>
      </c>
      <c r="J45" s="9"/>
      <c r="K45" s="9"/>
      <c r="L45" s="9" t="s">
        <v>288</v>
      </c>
    </row>
    <row r="46" spans="1:12" ht="51" x14ac:dyDescent="0.25">
      <c r="A46" s="9">
        <v>44</v>
      </c>
      <c r="B46" s="9" t="s">
        <v>283</v>
      </c>
      <c r="C46" s="9" t="s">
        <v>396</v>
      </c>
      <c r="D46" s="9" t="s">
        <v>397</v>
      </c>
      <c r="E46" s="9" t="s">
        <v>41</v>
      </c>
      <c r="F46" s="9" t="s">
        <v>398</v>
      </c>
      <c r="G46" s="9" t="s">
        <v>287</v>
      </c>
      <c r="H46" s="18">
        <v>49059</v>
      </c>
      <c r="I46" s="18">
        <v>47269</v>
      </c>
      <c r="J46" s="9"/>
      <c r="K46" s="9"/>
      <c r="L46" s="9" t="s">
        <v>288</v>
      </c>
    </row>
    <row r="47" spans="1:12" ht="51" x14ac:dyDescent="0.25">
      <c r="A47" s="9">
        <v>45</v>
      </c>
      <c r="B47" s="9" t="s">
        <v>283</v>
      </c>
      <c r="C47" s="9" t="s">
        <v>399</v>
      </c>
      <c r="D47" s="9" t="s">
        <v>397</v>
      </c>
      <c r="E47" s="9" t="s">
        <v>41</v>
      </c>
      <c r="F47" s="9" t="s">
        <v>400</v>
      </c>
      <c r="G47" s="9" t="s">
        <v>287</v>
      </c>
      <c r="H47" s="18">
        <v>49059</v>
      </c>
      <c r="I47" s="18">
        <v>47269</v>
      </c>
      <c r="J47" s="9"/>
      <c r="K47" s="9"/>
      <c r="L47" s="9" t="s">
        <v>288</v>
      </c>
    </row>
    <row r="48" spans="1:12" ht="25.5" x14ac:dyDescent="0.25">
      <c r="A48" s="9">
        <v>46</v>
      </c>
      <c r="B48" s="9" t="s">
        <v>283</v>
      </c>
      <c r="C48" s="9" t="s">
        <v>401</v>
      </c>
      <c r="D48" s="9" t="s">
        <v>402</v>
      </c>
      <c r="E48" s="9" t="s">
        <v>41</v>
      </c>
      <c r="F48" s="9" t="s">
        <v>403</v>
      </c>
      <c r="G48" s="9" t="s">
        <v>287</v>
      </c>
      <c r="H48" s="18">
        <v>49059</v>
      </c>
      <c r="I48" s="18">
        <v>47269</v>
      </c>
      <c r="J48" s="9"/>
      <c r="K48" s="9"/>
      <c r="L48" s="9" t="s">
        <v>288</v>
      </c>
    </row>
    <row r="49" spans="1:12" ht="38.25" x14ac:dyDescent="0.25">
      <c r="A49" s="9">
        <v>47</v>
      </c>
      <c r="B49" s="9" t="s">
        <v>283</v>
      </c>
      <c r="C49" s="9" t="s">
        <v>404</v>
      </c>
      <c r="D49" s="9" t="s">
        <v>405</v>
      </c>
      <c r="E49" s="9" t="s">
        <v>41</v>
      </c>
      <c r="F49" s="9" t="s">
        <v>406</v>
      </c>
      <c r="G49" s="9" t="s">
        <v>287</v>
      </c>
      <c r="H49" s="18">
        <v>49059</v>
      </c>
      <c r="I49" s="18">
        <v>47269</v>
      </c>
      <c r="J49" s="9"/>
      <c r="K49" s="9"/>
      <c r="L49" s="9" t="s">
        <v>288</v>
      </c>
    </row>
    <row r="50" spans="1:12" ht="38.25" x14ac:dyDescent="0.25">
      <c r="A50" s="9">
        <v>48</v>
      </c>
      <c r="B50" s="9" t="s">
        <v>283</v>
      </c>
      <c r="C50" s="9" t="s">
        <v>407</v>
      </c>
      <c r="D50" s="9" t="s">
        <v>405</v>
      </c>
      <c r="E50" s="9" t="s">
        <v>41</v>
      </c>
      <c r="F50" s="9" t="s">
        <v>408</v>
      </c>
      <c r="G50" s="9" t="s">
        <v>287</v>
      </c>
      <c r="H50" s="18">
        <v>49059</v>
      </c>
      <c r="I50" s="18">
        <v>47269</v>
      </c>
      <c r="J50" s="9"/>
      <c r="K50" s="9"/>
      <c r="L50" s="9" t="s">
        <v>288</v>
      </c>
    </row>
    <row r="51" spans="1:12" ht="38.25" x14ac:dyDescent="0.25">
      <c r="A51" s="9">
        <v>49</v>
      </c>
      <c r="B51" s="9" t="s">
        <v>283</v>
      </c>
      <c r="C51" s="9" t="s">
        <v>409</v>
      </c>
      <c r="D51" s="9" t="s">
        <v>410</v>
      </c>
      <c r="E51" s="9" t="s">
        <v>41</v>
      </c>
      <c r="F51" s="9" t="s">
        <v>411</v>
      </c>
      <c r="G51" s="9" t="s">
        <v>287</v>
      </c>
      <c r="H51" s="18">
        <v>49059</v>
      </c>
      <c r="I51" s="18">
        <v>47269</v>
      </c>
      <c r="J51" s="9"/>
      <c r="K51" s="9"/>
      <c r="L51" s="9" t="s">
        <v>288</v>
      </c>
    </row>
    <row r="52" spans="1:12" ht="51" x14ac:dyDescent="0.25">
      <c r="A52" s="9">
        <v>50</v>
      </c>
      <c r="B52" s="9" t="s">
        <v>283</v>
      </c>
      <c r="C52" s="9" t="s">
        <v>412</v>
      </c>
      <c r="D52" s="9" t="s">
        <v>413</v>
      </c>
      <c r="E52" s="9" t="s">
        <v>41</v>
      </c>
      <c r="F52" s="9" t="s">
        <v>414</v>
      </c>
      <c r="G52" s="9" t="s">
        <v>287</v>
      </c>
      <c r="H52" s="18">
        <v>49059</v>
      </c>
      <c r="I52" s="18">
        <v>47269</v>
      </c>
      <c r="J52" s="9"/>
      <c r="K52" s="9"/>
      <c r="L52" s="9" t="s">
        <v>288</v>
      </c>
    </row>
    <row r="53" spans="1:12" ht="25.5" x14ac:dyDescent="0.25">
      <c r="A53" s="9">
        <v>51</v>
      </c>
      <c r="B53" s="9" t="s">
        <v>283</v>
      </c>
      <c r="C53" s="9" t="s">
        <v>415</v>
      </c>
      <c r="D53" s="9" t="s">
        <v>416</v>
      </c>
      <c r="E53" s="9" t="s">
        <v>41</v>
      </c>
      <c r="F53" s="9" t="s">
        <v>417</v>
      </c>
      <c r="G53" s="9" t="s">
        <v>287</v>
      </c>
      <c r="H53" s="18">
        <v>49059</v>
      </c>
      <c r="I53" s="18">
        <v>47269</v>
      </c>
      <c r="J53" s="9"/>
      <c r="K53" s="9"/>
      <c r="L53" s="9" t="s">
        <v>288</v>
      </c>
    </row>
    <row r="54" spans="1:12" ht="25.5" x14ac:dyDescent="0.25">
      <c r="A54" s="9">
        <v>52</v>
      </c>
      <c r="B54" s="9" t="s">
        <v>283</v>
      </c>
      <c r="C54" s="9" t="s">
        <v>418</v>
      </c>
      <c r="D54" s="9" t="s">
        <v>419</v>
      </c>
      <c r="E54" s="9" t="s">
        <v>41</v>
      </c>
      <c r="F54" s="9" t="s">
        <v>420</v>
      </c>
      <c r="G54" s="9" t="s">
        <v>287</v>
      </c>
      <c r="H54" s="18">
        <v>49059</v>
      </c>
      <c r="I54" s="18">
        <v>47269</v>
      </c>
      <c r="J54" s="9"/>
      <c r="K54" s="9"/>
      <c r="L54" s="9" t="s">
        <v>288</v>
      </c>
    </row>
    <row r="55" spans="1:12" ht="25.5" x14ac:dyDescent="0.25">
      <c r="A55" s="9">
        <v>53</v>
      </c>
      <c r="B55" s="9" t="s">
        <v>283</v>
      </c>
      <c r="C55" s="9" t="s">
        <v>421</v>
      </c>
      <c r="D55" s="9" t="s">
        <v>422</v>
      </c>
      <c r="E55" s="9" t="s">
        <v>41</v>
      </c>
      <c r="F55" s="9" t="s">
        <v>423</v>
      </c>
      <c r="G55" s="9" t="s">
        <v>287</v>
      </c>
      <c r="H55" s="18">
        <v>49059</v>
      </c>
      <c r="I55" s="18">
        <v>47269</v>
      </c>
      <c r="J55" s="9" t="s">
        <v>424</v>
      </c>
      <c r="K55" s="9"/>
      <c r="L55" s="9" t="s">
        <v>288</v>
      </c>
    </row>
    <row r="56" spans="1:12" ht="38.25" x14ac:dyDescent="0.25">
      <c r="A56" s="9">
        <v>54</v>
      </c>
      <c r="B56" s="9" t="s">
        <v>283</v>
      </c>
      <c r="C56" s="9" t="s">
        <v>425</v>
      </c>
      <c r="D56" s="9" t="s">
        <v>426</v>
      </c>
      <c r="E56" s="9" t="s">
        <v>41</v>
      </c>
      <c r="F56" s="9" t="s">
        <v>427</v>
      </c>
      <c r="G56" s="9" t="s">
        <v>287</v>
      </c>
      <c r="H56" s="18">
        <v>49059</v>
      </c>
      <c r="I56" s="18">
        <v>47269</v>
      </c>
      <c r="J56" s="9"/>
      <c r="K56" s="9"/>
      <c r="L56" s="9" t="s">
        <v>288</v>
      </c>
    </row>
    <row r="57" spans="1:12" ht="38.25" x14ac:dyDescent="0.25">
      <c r="A57" s="9">
        <v>55</v>
      </c>
      <c r="B57" s="9" t="s">
        <v>283</v>
      </c>
      <c r="C57" s="9" t="s">
        <v>428</v>
      </c>
      <c r="D57" s="9" t="s">
        <v>426</v>
      </c>
      <c r="E57" s="9" t="s">
        <v>41</v>
      </c>
      <c r="F57" s="9" t="s">
        <v>429</v>
      </c>
      <c r="G57" s="9" t="s">
        <v>287</v>
      </c>
      <c r="H57" s="18">
        <v>49059</v>
      </c>
      <c r="I57" s="18">
        <v>47269</v>
      </c>
      <c r="J57" s="9"/>
      <c r="K57" s="9"/>
      <c r="L57" s="9" t="s">
        <v>288</v>
      </c>
    </row>
    <row r="58" spans="1:12" ht="38.25" x14ac:dyDescent="0.25">
      <c r="A58" s="9">
        <v>56</v>
      </c>
      <c r="B58" s="9" t="s">
        <v>283</v>
      </c>
      <c r="C58" s="9" t="s">
        <v>430</v>
      </c>
      <c r="D58" s="9" t="s">
        <v>426</v>
      </c>
      <c r="E58" s="9" t="s">
        <v>41</v>
      </c>
      <c r="F58" s="9" t="s">
        <v>431</v>
      </c>
      <c r="G58" s="9" t="s">
        <v>287</v>
      </c>
      <c r="H58" s="18">
        <v>49059</v>
      </c>
      <c r="I58" s="18">
        <v>47269</v>
      </c>
      <c r="J58" s="9"/>
      <c r="K58" s="9"/>
      <c r="L58" s="9" t="s">
        <v>288</v>
      </c>
    </row>
    <row r="59" spans="1:12" ht="25.5" x14ac:dyDescent="0.25">
      <c r="A59" s="9">
        <v>57</v>
      </c>
      <c r="B59" s="9" t="s">
        <v>283</v>
      </c>
      <c r="C59" s="9" t="s">
        <v>432</v>
      </c>
      <c r="D59" s="9" t="s">
        <v>433</v>
      </c>
      <c r="E59" s="9" t="s">
        <v>41</v>
      </c>
      <c r="F59" s="9" t="s">
        <v>434</v>
      </c>
      <c r="G59" s="9" t="s">
        <v>287</v>
      </c>
      <c r="H59" s="18">
        <v>49059</v>
      </c>
      <c r="I59" s="18">
        <v>47269</v>
      </c>
      <c r="J59" s="9"/>
      <c r="K59" s="9"/>
      <c r="L59" s="9" t="s">
        <v>288</v>
      </c>
    </row>
    <row r="60" spans="1:12" ht="38.25" x14ac:dyDescent="0.25">
      <c r="A60" s="9">
        <v>58</v>
      </c>
      <c r="B60" s="9" t="s">
        <v>283</v>
      </c>
      <c r="C60" s="9" t="s">
        <v>435</v>
      </c>
      <c r="D60" s="9" t="s">
        <v>433</v>
      </c>
      <c r="E60" s="9" t="s">
        <v>41</v>
      </c>
      <c r="F60" s="9" t="s">
        <v>436</v>
      </c>
      <c r="G60" s="9" t="s">
        <v>287</v>
      </c>
      <c r="H60" s="18">
        <v>49059</v>
      </c>
      <c r="I60" s="18">
        <v>47269</v>
      </c>
      <c r="J60" s="9"/>
      <c r="K60" s="9"/>
      <c r="L60" s="9" t="s">
        <v>288</v>
      </c>
    </row>
    <row r="61" spans="1:12" ht="38.25" x14ac:dyDescent="0.25">
      <c r="A61" s="9">
        <v>59</v>
      </c>
      <c r="B61" s="9" t="s">
        <v>283</v>
      </c>
      <c r="C61" s="9" t="s">
        <v>437</v>
      </c>
      <c r="D61" s="9" t="s">
        <v>438</v>
      </c>
      <c r="E61" s="9" t="s">
        <v>41</v>
      </c>
      <c r="F61" s="9" t="s">
        <v>439</v>
      </c>
      <c r="G61" s="9" t="s">
        <v>287</v>
      </c>
      <c r="H61" s="18">
        <v>49059</v>
      </c>
      <c r="I61" s="18">
        <v>47269</v>
      </c>
      <c r="J61" s="9"/>
      <c r="K61" s="9"/>
      <c r="L61" s="9" t="s">
        <v>288</v>
      </c>
    </row>
    <row r="62" spans="1:12" ht="63.75" x14ac:dyDescent="0.25">
      <c r="A62" s="9">
        <v>60</v>
      </c>
      <c r="B62" s="9" t="s">
        <v>283</v>
      </c>
      <c r="C62" s="9" t="s">
        <v>440</v>
      </c>
      <c r="D62" s="9" t="s">
        <v>441</v>
      </c>
      <c r="E62" s="9" t="s">
        <v>41</v>
      </c>
      <c r="F62" s="9" t="s">
        <v>442</v>
      </c>
      <c r="G62" s="9" t="s">
        <v>287</v>
      </c>
      <c r="H62" s="18">
        <v>49059</v>
      </c>
      <c r="I62" s="18">
        <v>47269</v>
      </c>
      <c r="J62" s="9"/>
      <c r="K62" s="9"/>
      <c r="L62" s="9" t="s">
        <v>288</v>
      </c>
    </row>
    <row r="63" spans="1:12" ht="51" x14ac:dyDescent="0.25">
      <c r="A63" s="9">
        <v>61</v>
      </c>
      <c r="B63" s="9" t="s">
        <v>283</v>
      </c>
      <c r="C63" s="9" t="s">
        <v>443</v>
      </c>
      <c r="D63" s="9" t="s">
        <v>438</v>
      </c>
      <c r="E63" s="9" t="s">
        <v>41</v>
      </c>
      <c r="F63" s="9" t="s">
        <v>444</v>
      </c>
      <c r="G63" s="9" t="s">
        <v>287</v>
      </c>
      <c r="H63" s="18">
        <v>49059</v>
      </c>
      <c r="I63" s="18">
        <v>47269</v>
      </c>
      <c r="J63" s="9"/>
      <c r="K63" s="9"/>
      <c r="L63" s="9" t="s">
        <v>288</v>
      </c>
    </row>
    <row r="64" spans="1:12" ht="51" x14ac:dyDescent="0.25">
      <c r="A64" s="9">
        <v>62</v>
      </c>
      <c r="B64" s="9" t="s">
        <v>283</v>
      </c>
      <c r="C64" s="9" t="s">
        <v>445</v>
      </c>
      <c r="D64" s="9" t="s">
        <v>438</v>
      </c>
      <c r="E64" s="9" t="s">
        <v>41</v>
      </c>
      <c r="F64" s="9" t="s">
        <v>446</v>
      </c>
      <c r="G64" s="9" t="s">
        <v>287</v>
      </c>
      <c r="H64" s="18">
        <v>49059</v>
      </c>
      <c r="I64" s="18">
        <v>47269</v>
      </c>
      <c r="J64" s="9"/>
      <c r="K64" s="9"/>
      <c r="L64" s="9" t="s">
        <v>288</v>
      </c>
    </row>
    <row r="65" spans="1:12" ht="38.25" x14ac:dyDescent="0.25">
      <c r="A65" s="9">
        <v>63</v>
      </c>
      <c r="B65" s="9" t="s">
        <v>283</v>
      </c>
      <c r="C65" s="9" t="s">
        <v>447</v>
      </c>
      <c r="D65" s="9" t="s">
        <v>438</v>
      </c>
      <c r="E65" s="9" t="s">
        <v>41</v>
      </c>
      <c r="F65" s="9" t="s">
        <v>448</v>
      </c>
      <c r="G65" s="9" t="s">
        <v>287</v>
      </c>
      <c r="H65" s="18">
        <v>49059</v>
      </c>
      <c r="I65" s="18">
        <v>47269</v>
      </c>
      <c r="J65" s="9"/>
      <c r="K65" s="9"/>
      <c r="L65" s="9" t="s">
        <v>288</v>
      </c>
    </row>
    <row r="66" spans="1:12" ht="38.25" x14ac:dyDescent="0.25">
      <c r="A66" s="9">
        <v>64</v>
      </c>
      <c r="B66" s="9" t="s">
        <v>283</v>
      </c>
      <c r="C66" s="9" t="s">
        <v>449</v>
      </c>
      <c r="D66" s="9" t="s">
        <v>438</v>
      </c>
      <c r="E66" s="9" t="s">
        <v>41</v>
      </c>
      <c r="F66" s="9" t="s">
        <v>450</v>
      </c>
      <c r="G66" s="9" t="s">
        <v>287</v>
      </c>
      <c r="H66" s="18">
        <v>49059</v>
      </c>
      <c r="I66" s="18">
        <v>47269</v>
      </c>
      <c r="J66" s="9"/>
      <c r="K66" s="9"/>
      <c r="L66" s="9" t="s">
        <v>288</v>
      </c>
    </row>
    <row r="67" spans="1:12" ht="38.25" x14ac:dyDescent="0.25">
      <c r="A67" s="9">
        <v>65</v>
      </c>
      <c r="B67" s="9" t="s">
        <v>283</v>
      </c>
      <c r="C67" s="9" t="s">
        <v>451</v>
      </c>
      <c r="D67" s="9" t="s">
        <v>452</v>
      </c>
      <c r="E67" s="9" t="s">
        <v>41</v>
      </c>
      <c r="F67" s="9" t="s">
        <v>453</v>
      </c>
      <c r="G67" s="9" t="s">
        <v>287</v>
      </c>
      <c r="H67" s="18">
        <v>49059</v>
      </c>
      <c r="I67" s="18">
        <v>47269</v>
      </c>
      <c r="J67" s="9"/>
      <c r="K67" s="9"/>
      <c r="L67" s="9" t="s">
        <v>288</v>
      </c>
    </row>
    <row r="68" spans="1:12" ht="25.5" x14ac:dyDescent="0.25">
      <c r="A68" s="9">
        <v>66</v>
      </c>
      <c r="B68" s="9" t="s">
        <v>283</v>
      </c>
      <c r="C68" s="9" t="s">
        <v>454</v>
      </c>
      <c r="D68" s="9" t="s">
        <v>455</v>
      </c>
      <c r="E68" s="9" t="s">
        <v>41</v>
      </c>
      <c r="F68" s="9" t="s">
        <v>456</v>
      </c>
      <c r="G68" s="9" t="s">
        <v>287</v>
      </c>
      <c r="H68" s="18">
        <v>49059</v>
      </c>
      <c r="I68" s="18">
        <v>47269</v>
      </c>
      <c r="J68" s="9"/>
      <c r="K68" s="9"/>
      <c r="L68" s="9" t="s">
        <v>288</v>
      </c>
    </row>
    <row r="69" spans="1:12" ht="51" x14ac:dyDescent="0.25">
      <c r="A69" s="9">
        <v>67</v>
      </c>
      <c r="B69" s="9" t="s">
        <v>283</v>
      </c>
      <c r="C69" s="9" t="s">
        <v>457</v>
      </c>
      <c r="D69" s="9" t="s">
        <v>458</v>
      </c>
      <c r="E69" s="9" t="s">
        <v>41</v>
      </c>
      <c r="F69" s="9" t="s">
        <v>459</v>
      </c>
      <c r="G69" s="9" t="s">
        <v>287</v>
      </c>
      <c r="H69" s="18">
        <v>49059</v>
      </c>
      <c r="I69" s="18">
        <v>47269</v>
      </c>
      <c r="J69" s="9"/>
      <c r="K69" s="9"/>
      <c r="L69" s="9" t="s">
        <v>288</v>
      </c>
    </row>
    <row r="70" spans="1:12" ht="38.25" x14ac:dyDescent="0.25">
      <c r="A70" s="9">
        <v>68</v>
      </c>
      <c r="B70" s="9" t="s">
        <v>283</v>
      </c>
      <c r="C70" s="9" t="s">
        <v>460</v>
      </c>
      <c r="D70" s="9" t="s">
        <v>458</v>
      </c>
      <c r="E70" s="9" t="s">
        <v>41</v>
      </c>
      <c r="F70" s="9" t="s">
        <v>461</v>
      </c>
      <c r="G70" s="9" t="s">
        <v>287</v>
      </c>
      <c r="H70" s="18">
        <v>49059</v>
      </c>
      <c r="I70" s="18">
        <v>47269</v>
      </c>
      <c r="J70" s="9"/>
      <c r="K70" s="9"/>
      <c r="L70" s="9" t="s">
        <v>288</v>
      </c>
    </row>
    <row r="71" spans="1:12" ht="51" x14ac:dyDescent="0.25">
      <c r="A71" s="9">
        <v>69</v>
      </c>
      <c r="B71" s="9" t="s">
        <v>283</v>
      </c>
      <c r="C71" s="9" t="s">
        <v>462</v>
      </c>
      <c r="D71" s="9" t="s">
        <v>458</v>
      </c>
      <c r="E71" s="9" t="s">
        <v>41</v>
      </c>
      <c r="F71" s="9" t="s">
        <v>463</v>
      </c>
      <c r="G71" s="9" t="s">
        <v>287</v>
      </c>
      <c r="H71" s="18">
        <v>49059</v>
      </c>
      <c r="I71" s="18">
        <v>47269</v>
      </c>
      <c r="J71" s="9"/>
      <c r="K71" s="9"/>
      <c r="L71" s="9" t="s">
        <v>288</v>
      </c>
    </row>
    <row r="72" spans="1:12" ht="38.25" x14ac:dyDescent="0.25">
      <c r="A72" s="9">
        <v>70</v>
      </c>
      <c r="B72" s="9" t="s">
        <v>283</v>
      </c>
      <c r="C72" s="9" t="s">
        <v>464</v>
      </c>
      <c r="D72" s="9" t="s">
        <v>458</v>
      </c>
      <c r="E72" s="9" t="s">
        <v>41</v>
      </c>
      <c r="F72" s="9" t="s">
        <v>465</v>
      </c>
      <c r="G72" s="9" t="s">
        <v>287</v>
      </c>
      <c r="H72" s="18">
        <v>49059</v>
      </c>
      <c r="I72" s="18">
        <v>47269</v>
      </c>
      <c r="J72" s="9"/>
      <c r="K72" s="9"/>
      <c r="L72" s="9" t="s">
        <v>288</v>
      </c>
    </row>
    <row r="73" spans="1:12" ht="51" x14ac:dyDescent="0.25">
      <c r="A73" s="9">
        <v>71</v>
      </c>
      <c r="B73" s="9" t="s">
        <v>283</v>
      </c>
      <c r="C73" s="9" t="s">
        <v>466</v>
      </c>
      <c r="D73" s="9" t="s">
        <v>458</v>
      </c>
      <c r="E73" s="9" t="s">
        <v>41</v>
      </c>
      <c r="F73" s="9" t="s">
        <v>467</v>
      </c>
      <c r="G73" s="9" t="s">
        <v>287</v>
      </c>
      <c r="H73" s="18">
        <v>49059</v>
      </c>
      <c r="I73" s="18">
        <v>47269</v>
      </c>
      <c r="J73" s="9"/>
      <c r="K73" s="9"/>
      <c r="L73" s="9" t="s">
        <v>288</v>
      </c>
    </row>
    <row r="74" spans="1:12" ht="51" x14ac:dyDescent="0.25">
      <c r="A74" s="9">
        <v>72</v>
      </c>
      <c r="B74" s="9" t="s">
        <v>283</v>
      </c>
      <c r="C74" s="9" t="s">
        <v>468</v>
      </c>
      <c r="D74" s="9" t="s">
        <v>469</v>
      </c>
      <c r="E74" s="9" t="s">
        <v>41</v>
      </c>
      <c r="F74" s="9" t="s">
        <v>470</v>
      </c>
      <c r="G74" s="9" t="s">
        <v>287</v>
      </c>
      <c r="H74" s="18">
        <v>49059</v>
      </c>
      <c r="I74" s="18">
        <v>47269</v>
      </c>
      <c r="J74" s="9"/>
      <c r="K74" s="9"/>
      <c r="L74" s="9" t="s">
        <v>288</v>
      </c>
    </row>
    <row r="75" spans="1:12" ht="38.25" x14ac:dyDescent="0.25">
      <c r="A75" s="9">
        <v>73</v>
      </c>
      <c r="B75" s="9" t="s">
        <v>283</v>
      </c>
      <c r="C75" s="9" t="s">
        <v>471</v>
      </c>
      <c r="D75" s="9" t="s">
        <v>472</v>
      </c>
      <c r="E75" s="9" t="s">
        <v>41</v>
      </c>
      <c r="F75" s="9" t="s">
        <v>473</v>
      </c>
      <c r="G75" s="9" t="s">
        <v>287</v>
      </c>
      <c r="H75" s="18">
        <v>49059</v>
      </c>
      <c r="I75" s="18">
        <v>47269</v>
      </c>
      <c r="J75" s="9" t="s">
        <v>474</v>
      </c>
      <c r="K75" s="9"/>
      <c r="L75" s="9" t="s">
        <v>288</v>
      </c>
    </row>
    <row r="76" spans="1:12" ht="51" x14ac:dyDescent="0.25">
      <c r="A76" s="9">
        <v>74</v>
      </c>
      <c r="B76" s="9" t="s">
        <v>283</v>
      </c>
      <c r="C76" s="9" t="s">
        <v>475</v>
      </c>
      <c r="D76" s="9" t="s">
        <v>476</v>
      </c>
      <c r="E76" s="9" t="s">
        <v>41</v>
      </c>
      <c r="F76" s="9" t="s">
        <v>477</v>
      </c>
      <c r="G76" s="9" t="s">
        <v>287</v>
      </c>
      <c r="H76" s="18">
        <v>49059</v>
      </c>
      <c r="I76" s="18">
        <v>47269</v>
      </c>
      <c r="J76" s="9"/>
      <c r="K76" s="9"/>
      <c r="L76" s="9" t="s">
        <v>288</v>
      </c>
    </row>
    <row r="77" spans="1:12" ht="38.25" x14ac:dyDescent="0.25">
      <c r="A77" s="9">
        <v>75</v>
      </c>
      <c r="B77" s="9" t="s">
        <v>283</v>
      </c>
      <c r="C77" s="9" t="s">
        <v>478</v>
      </c>
      <c r="D77" s="9" t="s">
        <v>479</v>
      </c>
      <c r="E77" s="9" t="s">
        <v>41</v>
      </c>
      <c r="F77" s="9" t="s">
        <v>480</v>
      </c>
      <c r="G77" s="9" t="s">
        <v>287</v>
      </c>
      <c r="H77" s="18">
        <v>49059</v>
      </c>
      <c r="I77" s="18">
        <v>47269</v>
      </c>
      <c r="J77" s="9"/>
      <c r="K77" s="9"/>
      <c r="L77" s="9" t="s">
        <v>288</v>
      </c>
    </row>
    <row r="78" spans="1:12" ht="38.25" x14ac:dyDescent="0.25">
      <c r="A78" s="9">
        <v>76</v>
      </c>
      <c r="B78" s="9" t="s">
        <v>283</v>
      </c>
      <c r="C78" s="9" t="s">
        <v>481</v>
      </c>
      <c r="D78" s="9" t="s">
        <v>479</v>
      </c>
      <c r="E78" s="9" t="s">
        <v>41</v>
      </c>
      <c r="F78" s="9" t="s">
        <v>482</v>
      </c>
      <c r="G78" s="9" t="s">
        <v>287</v>
      </c>
      <c r="H78" s="18">
        <v>49059</v>
      </c>
      <c r="I78" s="18">
        <v>47269</v>
      </c>
      <c r="J78" s="9"/>
      <c r="K78" s="9"/>
      <c r="L78" s="9" t="s">
        <v>288</v>
      </c>
    </row>
    <row r="79" spans="1:12" ht="51" x14ac:dyDescent="0.25">
      <c r="A79" s="9">
        <v>77</v>
      </c>
      <c r="B79" s="9" t="s">
        <v>283</v>
      </c>
      <c r="C79" s="9" t="s">
        <v>483</v>
      </c>
      <c r="D79" s="9" t="s">
        <v>484</v>
      </c>
      <c r="E79" s="9" t="s">
        <v>41</v>
      </c>
      <c r="F79" s="9" t="s">
        <v>485</v>
      </c>
      <c r="G79" s="9" t="s">
        <v>287</v>
      </c>
      <c r="H79" s="18">
        <v>49059</v>
      </c>
      <c r="I79" s="18">
        <v>47269</v>
      </c>
      <c r="J79" s="9"/>
      <c r="K79" s="9"/>
      <c r="L79" s="9" t="s">
        <v>288</v>
      </c>
    </row>
    <row r="80" spans="1:12" ht="38.25" x14ac:dyDescent="0.25">
      <c r="A80" s="9">
        <v>78</v>
      </c>
      <c r="B80" s="9" t="s">
        <v>283</v>
      </c>
      <c r="C80" s="9" t="s">
        <v>486</v>
      </c>
      <c r="D80" s="9" t="s">
        <v>487</v>
      </c>
      <c r="E80" s="9" t="s">
        <v>41</v>
      </c>
      <c r="F80" s="9" t="s">
        <v>488</v>
      </c>
      <c r="G80" s="9" t="s">
        <v>287</v>
      </c>
      <c r="H80" s="18">
        <v>49059</v>
      </c>
      <c r="I80" s="18">
        <v>47269</v>
      </c>
      <c r="J80" s="9"/>
      <c r="K80" s="9"/>
      <c r="L80" s="9" t="s">
        <v>288</v>
      </c>
    </row>
    <row r="81" spans="1:12" ht="38.25" x14ac:dyDescent="0.25">
      <c r="A81" s="9">
        <v>79</v>
      </c>
      <c r="B81" s="9" t="s">
        <v>283</v>
      </c>
      <c r="C81" s="9" t="s">
        <v>489</v>
      </c>
      <c r="D81" s="9" t="s">
        <v>487</v>
      </c>
      <c r="E81" s="9" t="s">
        <v>41</v>
      </c>
      <c r="F81" s="9" t="s">
        <v>490</v>
      </c>
      <c r="G81" s="9" t="s">
        <v>287</v>
      </c>
      <c r="H81" s="18">
        <v>49059</v>
      </c>
      <c r="I81" s="18">
        <v>47269</v>
      </c>
      <c r="J81" s="9"/>
      <c r="K81" s="9"/>
      <c r="L81" s="9" t="s">
        <v>288</v>
      </c>
    </row>
    <row r="82" spans="1:12" ht="38.25" x14ac:dyDescent="0.25">
      <c r="A82" s="9">
        <v>80</v>
      </c>
      <c r="B82" s="9" t="s">
        <v>283</v>
      </c>
      <c r="C82" s="9" t="s">
        <v>491</v>
      </c>
      <c r="D82" s="9" t="s">
        <v>487</v>
      </c>
      <c r="E82" s="9" t="s">
        <v>41</v>
      </c>
      <c r="F82" s="9" t="s">
        <v>492</v>
      </c>
      <c r="G82" s="9" t="s">
        <v>287</v>
      </c>
      <c r="H82" s="18">
        <v>49059</v>
      </c>
      <c r="I82" s="18">
        <v>47269</v>
      </c>
      <c r="J82" s="9"/>
      <c r="K82" s="9"/>
      <c r="L82" s="9" t="s">
        <v>288</v>
      </c>
    </row>
    <row r="83" spans="1:12" ht="38.25" x14ac:dyDescent="0.25">
      <c r="A83" s="9">
        <v>81</v>
      </c>
      <c r="B83" s="9" t="s">
        <v>283</v>
      </c>
      <c r="C83" s="9" t="s">
        <v>493</v>
      </c>
      <c r="D83" s="9" t="s">
        <v>487</v>
      </c>
      <c r="E83" s="9" t="s">
        <v>41</v>
      </c>
      <c r="F83" s="9" t="s">
        <v>494</v>
      </c>
      <c r="G83" s="9" t="s">
        <v>287</v>
      </c>
      <c r="H83" s="18">
        <v>49059</v>
      </c>
      <c r="I83" s="18">
        <v>47269</v>
      </c>
      <c r="J83" s="9"/>
      <c r="K83" s="9"/>
      <c r="L83" s="9" t="s">
        <v>288</v>
      </c>
    </row>
    <row r="84" spans="1:12" ht="38.25" x14ac:dyDescent="0.25">
      <c r="A84" s="9">
        <v>82</v>
      </c>
      <c r="B84" s="9" t="s">
        <v>283</v>
      </c>
      <c r="C84" s="9" t="s">
        <v>495</v>
      </c>
      <c r="D84" s="9" t="s">
        <v>487</v>
      </c>
      <c r="E84" s="9" t="s">
        <v>41</v>
      </c>
      <c r="F84" s="9" t="s">
        <v>496</v>
      </c>
      <c r="G84" s="9" t="s">
        <v>287</v>
      </c>
      <c r="H84" s="18">
        <v>49059</v>
      </c>
      <c r="I84" s="18">
        <v>47269</v>
      </c>
      <c r="J84" s="9"/>
      <c r="K84" s="9"/>
      <c r="L84" s="9" t="s">
        <v>288</v>
      </c>
    </row>
    <row r="85" spans="1:12" ht="38.25" x14ac:dyDescent="0.25">
      <c r="A85" s="9">
        <v>83</v>
      </c>
      <c r="B85" s="9" t="s">
        <v>283</v>
      </c>
      <c r="C85" s="9" t="s">
        <v>497</v>
      </c>
      <c r="D85" s="9" t="s">
        <v>487</v>
      </c>
      <c r="E85" s="9" t="s">
        <v>41</v>
      </c>
      <c r="F85" s="9" t="s">
        <v>498</v>
      </c>
      <c r="G85" s="9" t="s">
        <v>287</v>
      </c>
      <c r="H85" s="18">
        <v>49059</v>
      </c>
      <c r="I85" s="18">
        <v>47269</v>
      </c>
      <c r="J85" s="9"/>
      <c r="K85" s="9"/>
      <c r="L85" s="9" t="s">
        <v>288</v>
      </c>
    </row>
    <row r="86" spans="1:12" ht="38.25" x14ac:dyDescent="0.25">
      <c r="A86" s="9">
        <v>84</v>
      </c>
      <c r="B86" s="9" t="s">
        <v>283</v>
      </c>
      <c r="C86" s="9" t="s">
        <v>499</v>
      </c>
      <c r="D86" s="9" t="s">
        <v>487</v>
      </c>
      <c r="E86" s="9" t="s">
        <v>41</v>
      </c>
      <c r="F86" s="9" t="s">
        <v>500</v>
      </c>
      <c r="G86" s="9" t="s">
        <v>287</v>
      </c>
      <c r="H86" s="18">
        <v>49059</v>
      </c>
      <c r="I86" s="18">
        <v>47269</v>
      </c>
      <c r="J86" s="9"/>
      <c r="K86" s="9"/>
      <c r="L86" s="9" t="s">
        <v>288</v>
      </c>
    </row>
    <row r="87" spans="1:12" ht="38.25" x14ac:dyDescent="0.25">
      <c r="A87" s="9">
        <v>85</v>
      </c>
      <c r="B87" s="9" t="s">
        <v>283</v>
      </c>
      <c r="C87" s="9" t="s">
        <v>501</v>
      </c>
      <c r="D87" s="9" t="s">
        <v>487</v>
      </c>
      <c r="E87" s="9" t="s">
        <v>41</v>
      </c>
      <c r="F87" s="9" t="s">
        <v>502</v>
      </c>
      <c r="G87" s="9" t="s">
        <v>287</v>
      </c>
      <c r="H87" s="18">
        <v>49059</v>
      </c>
      <c r="I87" s="18">
        <v>47269</v>
      </c>
      <c r="J87" s="9"/>
      <c r="K87" s="9"/>
      <c r="L87" s="9" t="s">
        <v>288</v>
      </c>
    </row>
    <row r="88" spans="1:12" ht="38.25" x14ac:dyDescent="0.25">
      <c r="A88" s="9">
        <v>86</v>
      </c>
      <c r="B88" s="9" t="s">
        <v>283</v>
      </c>
      <c r="C88" s="9" t="s">
        <v>503</v>
      </c>
      <c r="D88" s="9" t="s">
        <v>487</v>
      </c>
      <c r="E88" s="9" t="s">
        <v>41</v>
      </c>
      <c r="F88" s="9" t="s">
        <v>504</v>
      </c>
      <c r="G88" s="9" t="s">
        <v>287</v>
      </c>
      <c r="H88" s="18">
        <v>49059</v>
      </c>
      <c r="I88" s="18">
        <v>47269</v>
      </c>
      <c r="J88" s="9"/>
      <c r="K88" s="9"/>
      <c r="L88" s="9" t="s">
        <v>288</v>
      </c>
    </row>
    <row r="89" spans="1:12" ht="38.25" x14ac:dyDescent="0.25">
      <c r="A89" s="9">
        <v>87</v>
      </c>
      <c r="B89" s="9" t="s">
        <v>283</v>
      </c>
      <c r="C89" s="9" t="s">
        <v>505</v>
      </c>
      <c r="D89" s="9" t="s">
        <v>506</v>
      </c>
      <c r="E89" s="9" t="s">
        <v>41</v>
      </c>
      <c r="F89" s="9" t="s">
        <v>507</v>
      </c>
      <c r="G89" s="9" t="s">
        <v>287</v>
      </c>
      <c r="H89" s="18">
        <v>49059</v>
      </c>
      <c r="I89" s="18">
        <v>47269</v>
      </c>
      <c r="J89" s="9"/>
      <c r="K89" s="9"/>
      <c r="L89" s="9" t="s">
        <v>288</v>
      </c>
    </row>
    <row r="90" spans="1:12" ht="38.25" x14ac:dyDescent="0.25">
      <c r="A90" s="9">
        <v>88</v>
      </c>
      <c r="B90" s="9" t="s">
        <v>283</v>
      </c>
      <c r="C90" s="9" t="s">
        <v>508</v>
      </c>
      <c r="D90" s="9" t="s">
        <v>509</v>
      </c>
      <c r="E90" s="9" t="s">
        <v>41</v>
      </c>
      <c r="F90" s="9" t="s">
        <v>510</v>
      </c>
      <c r="G90" s="9" t="s">
        <v>287</v>
      </c>
      <c r="H90" s="18">
        <v>49059</v>
      </c>
      <c r="I90" s="18">
        <v>47269</v>
      </c>
      <c r="J90" s="9"/>
      <c r="K90" s="9"/>
      <c r="L90" s="9" t="s">
        <v>288</v>
      </c>
    </row>
    <row r="91" spans="1:12" ht="51" x14ac:dyDescent="0.25">
      <c r="A91" s="9">
        <v>89</v>
      </c>
      <c r="B91" s="9" t="s">
        <v>283</v>
      </c>
      <c r="C91" s="9" t="s">
        <v>511</v>
      </c>
      <c r="D91" s="9" t="s">
        <v>509</v>
      </c>
      <c r="E91" s="9" t="s">
        <v>41</v>
      </c>
      <c r="F91" s="9" t="s">
        <v>512</v>
      </c>
      <c r="G91" s="9" t="s">
        <v>287</v>
      </c>
      <c r="H91" s="18">
        <v>49059</v>
      </c>
      <c r="I91" s="18">
        <v>47269</v>
      </c>
      <c r="J91" s="9"/>
      <c r="K91" s="9"/>
      <c r="L91" s="9" t="s">
        <v>288</v>
      </c>
    </row>
    <row r="92" spans="1:12" ht="51" x14ac:dyDescent="0.25">
      <c r="A92" s="9">
        <v>90</v>
      </c>
      <c r="B92" s="9" t="s">
        <v>283</v>
      </c>
      <c r="C92" s="9" t="s">
        <v>513</v>
      </c>
      <c r="D92" s="9" t="s">
        <v>509</v>
      </c>
      <c r="E92" s="9" t="s">
        <v>41</v>
      </c>
      <c r="F92" s="9" t="s">
        <v>514</v>
      </c>
      <c r="G92" s="9" t="s">
        <v>287</v>
      </c>
      <c r="H92" s="18">
        <v>49059</v>
      </c>
      <c r="I92" s="18">
        <v>47269</v>
      </c>
      <c r="J92" s="9"/>
      <c r="K92" s="9"/>
      <c r="L92" s="9" t="s">
        <v>288</v>
      </c>
    </row>
    <row r="93" spans="1:12" ht="38.25" x14ac:dyDescent="0.25">
      <c r="A93" s="9">
        <v>91</v>
      </c>
      <c r="B93" s="9" t="s">
        <v>283</v>
      </c>
      <c r="C93" s="9" t="s">
        <v>515</v>
      </c>
      <c r="D93" s="9" t="s">
        <v>516</v>
      </c>
      <c r="E93" s="9" t="s">
        <v>41</v>
      </c>
      <c r="F93" s="9" t="s">
        <v>517</v>
      </c>
      <c r="G93" s="9" t="s">
        <v>287</v>
      </c>
      <c r="H93" s="18">
        <v>49059</v>
      </c>
      <c r="I93" s="18">
        <v>47269</v>
      </c>
      <c r="J93" s="9"/>
      <c r="K93" s="9"/>
      <c r="L93" s="9" t="s">
        <v>288</v>
      </c>
    </row>
    <row r="94" spans="1:12" ht="25.5" x14ac:dyDescent="0.25">
      <c r="A94" s="9">
        <v>92</v>
      </c>
      <c r="B94" s="9" t="s">
        <v>283</v>
      </c>
      <c r="C94" s="9" t="s">
        <v>518</v>
      </c>
      <c r="D94" s="9" t="s">
        <v>519</v>
      </c>
      <c r="E94" s="9" t="s">
        <v>41</v>
      </c>
      <c r="F94" s="9" t="s">
        <v>520</v>
      </c>
      <c r="G94" s="9" t="s">
        <v>287</v>
      </c>
      <c r="H94" s="18">
        <v>49059</v>
      </c>
      <c r="I94" s="18">
        <v>47269</v>
      </c>
      <c r="J94" s="9"/>
      <c r="K94" s="9"/>
      <c r="L94" s="9" t="s">
        <v>288</v>
      </c>
    </row>
    <row r="95" spans="1:12" ht="25.5" x14ac:dyDescent="0.25">
      <c r="A95" s="9">
        <v>93</v>
      </c>
      <c r="B95" s="9" t="s">
        <v>283</v>
      </c>
      <c r="C95" s="9" t="s">
        <v>521</v>
      </c>
      <c r="D95" s="9" t="s">
        <v>522</v>
      </c>
      <c r="E95" s="9" t="s">
        <v>41</v>
      </c>
      <c r="F95" s="9" t="s">
        <v>523</v>
      </c>
      <c r="G95" s="9" t="s">
        <v>287</v>
      </c>
      <c r="H95" s="18">
        <v>49059</v>
      </c>
      <c r="I95" s="18">
        <v>47269</v>
      </c>
      <c r="J95" s="9"/>
      <c r="K95" s="9"/>
      <c r="L95" s="9" t="s">
        <v>288</v>
      </c>
    </row>
    <row r="96" spans="1:12" ht="38.25" x14ac:dyDescent="0.25">
      <c r="A96" s="9">
        <v>94</v>
      </c>
      <c r="B96" s="9" t="s">
        <v>283</v>
      </c>
      <c r="C96" s="9" t="s">
        <v>524</v>
      </c>
      <c r="D96" s="9" t="s">
        <v>525</v>
      </c>
      <c r="E96" s="9" t="s">
        <v>41</v>
      </c>
      <c r="F96" s="9" t="s">
        <v>526</v>
      </c>
      <c r="G96" s="9" t="s">
        <v>287</v>
      </c>
      <c r="H96" s="18">
        <v>49059</v>
      </c>
      <c r="I96" s="18">
        <v>47269</v>
      </c>
      <c r="J96" s="9"/>
      <c r="K96" s="9"/>
      <c r="L96" s="9" t="s">
        <v>288</v>
      </c>
    </row>
    <row r="97" spans="1:12" ht="38.25" x14ac:dyDescent="0.25">
      <c r="A97" s="9">
        <v>95</v>
      </c>
      <c r="B97" s="9" t="s">
        <v>283</v>
      </c>
      <c r="C97" s="9" t="s">
        <v>527</v>
      </c>
      <c r="D97" s="9" t="s">
        <v>528</v>
      </c>
      <c r="E97" s="9" t="s">
        <v>41</v>
      </c>
      <c r="F97" s="9" t="s">
        <v>529</v>
      </c>
      <c r="G97" s="9" t="s">
        <v>287</v>
      </c>
      <c r="H97" s="18">
        <v>49059</v>
      </c>
      <c r="I97" s="18">
        <v>47269</v>
      </c>
      <c r="J97" s="9"/>
      <c r="K97" s="9"/>
      <c r="L97" s="9" t="s">
        <v>288</v>
      </c>
    </row>
    <row r="98" spans="1:12" ht="38.25" x14ac:dyDescent="0.25">
      <c r="A98" s="9">
        <v>96</v>
      </c>
      <c r="B98" s="9" t="s">
        <v>283</v>
      </c>
      <c r="C98" s="9" t="s">
        <v>530</v>
      </c>
      <c r="D98" s="9" t="s">
        <v>531</v>
      </c>
      <c r="E98" s="9" t="s">
        <v>41</v>
      </c>
      <c r="F98" s="9" t="s">
        <v>532</v>
      </c>
      <c r="G98" s="9" t="s">
        <v>287</v>
      </c>
      <c r="H98" s="18">
        <v>49059</v>
      </c>
      <c r="I98" s="18">
        <v>47269</v>
      </c>
      <c r="J98" s="9"/>
      <c r="K98" s="9"/>
      <c r="L98" s="9" t="s">
        <v>288</v>
      </c>
    </row>
    <row r="99" spans="1:12" ht="38.25" x14ac:dyDescent="0.25">
      <c r="A99" s="9">
        <v>97</v>
      </c>
      <c r="B99" s="9" t="s">
        <v>283</v>
      </c>
      <c r="C99" s="9" t="s">
        <v>533</v>
      </c>
      <c r="D99" s="9" t="s">
        <v>534</v>
      </c>
      <c r="E99" s="9" t="s">
        <v>41</v>
      </c>
      <c r="F99" s="9" t="s">
        <v>535</v>
      </c>
      <c r="G99" s="9" t="s">
        <v>287</v>
      </c>
      <c r="H99" s="18">
        <v>49059</v>
      </c>
      <c r="I99" s="18">
        <v>47269</v>
      </c>
      <c r="J99" s="9"/>
      <c r="K99" s="9"/>
      <c r="L99" s="9" t="s">
        <v>288</v>
      </c>
    </row>
    <row r="100" spans="1:12" ht="38.25" x14ac:dyDescent="0.25">
      <c r="A100" s="9">
        <v>98</v>
      </c>
      <c r="B100" s="9" t="s">
        <v>283</v>
      </c>
      <c r="C100" s="9" t="s">
        <v>536</v>
      </c>
      <c r="D100" s="9" t="s">
        <v>537</v>
      </c>
      <c r="E100" s="9" t="s">
        <v>41</v>
      </c>
      <c r="F100" s="9" t="s">
        <v>538</v>
      </c>
      <c r="G100" s="9" t="s">
        <v>287</v>
      </c>
      <c r="H100" s="18">
        <v>49059</v>
      </c>
      <c r="I100" s="18">
        <v>47269</v>
      </c>
      <c r="J100" s="9"/>
      <c r="K100" s="9"/>
      <c r="L100" s="9" t="s">
        <v>288</v>
      </c>
    </row>
    <row r="101" spans="1:12" ht="38.25" x14ac:dyDescent="0.25">
      <c r="A101" s="9">
        <v>99</v>
      </c>
      <c r="B101" s="9" t="s">
        <v>283</v>
      </c>
      <c r="C101" s="9" t="s">
        <v>539</v>
      </c>
      <c r="D101" s="9" t="s">
        <v>537</v>
      </c>
      <c r="E101" s="9" t="s">
        <v>41</v>
      </c>
      <c r="F101" s="9" t="s">
        <v>540</v>
      </c>
      <c r="G101" s="9" t="s">
        <v>287</v>
      </c>
      <c r="H101" s="18">
        <v>49059</v>
      </c>
      <c r="I101" s="18">
        <v>47269</v>
      </c>
      <c r="J101" s="9"/>
      <c r="K101" s="9"/>
      <c r="L101" s="9" t="s">
        <v>288</v>
      </c>
    </row>
    <row r="102" spans="1:12" ht="38.25" x14ac:dyDescent="0.25">
      <c r="A102" s="9">
        <v>100</v>
      </c>
      <c r="B102" s="9" t="s">
        <v>283</v>
      </c>
      <c r="C102" s="9" t="s">
        <v>541</v>
      </c>
      <c r="D102" s="9" t="s">
        <v>542</v>
      </c>
      <c r="E102" s="9" t="s">
        <v>41</v>
      </c>
      <c r="F102" s="9" t="s">
        <v>543</v>
      </c>
      <c r="G102" s="9" t="s">
        <v>287</v>
      </c>
      <c r="H102" s="18">
        <v>49059</v>
      </c>
      <c r="I102" s="18">
        <v>47269</v>
      </c>
      <c r="J102" s="9"/>
      <c r="K102" s="9"/>
      <c r="L102" s="9" t="s">
        <v>288</v>
      </c>
    </row>
    <row r="103" spans="1:12" ht="51" x14ac:dyDescent="0.25">
      <c r="A103" s="9">
        <v>101</v>
      </c>
      <c r="B103" s="9" t="s">
        <v>283</v>
      </c>
      <c r="C103" s="9" t="s">
        <v>544</v>
      </c>
      <c r="D103" s="9" t="s">
        <v>545</v>
      </c>
      <c r="E103" s="9" t="s">
        <v>41</v>
      </c>
      <c r="F103" s="9" t="s">
        <v>546</v>
      </c>
      <c r="G103" s="9" t="s">
        <v>287</v>
      </c>
      <c r="H103" s="18">
        <v>49059</v>
      </c>
      <c r="I103" s="18">
        <v>47269</v>
      </c>
      <c r="J103" s="9"/>
      <c r="K103" s="9"/>
      <c r="L103" s="9" t="s">
        <v>288</v>
      </c>
    </row>
    <row r="104" spans="1:12" ht="38.25" x14ac:dyDescent="0.25">
      <c r="A104" s="9">
        <v>102</v>
      </c>
      <c r="B104" s="9" t="s">
        <v>283</v>
      </c>
      <c r="C104" s="9" t="s">
        <v>547</v>
      </c>
      <c r="D104" s="9" t="s">
        <v>545</v>
      </c>
      <c r="E104" s="9" t="s">
        <v>41</v>
      </c>
      <c r="F104" s="9" t="s">
        <v>548</v>
      </c>
      <c r="G104" s="9" t="s">
        <v>287</v>
      </c>
      <c r="H104" s="18">
        <v>49059</v>
      </c>
      <c r="I104" s="18">
        <v>47269</v>
      </c>
      <c r="J104" s="9"/>
      <c r="K104" s="9"/>
      <c r="L104" s="9" t="s">
        <v>288</v>
      </c>
    </row>
    <row r="105" spans="1:12" ht="38.25" x14ac:dyDescent="0.25">
      <c r="A105" s="9">
        <v>103</v>
      </c>
      <c r="B105" s="9" t="s">
        <v>283</v>
      </c>
      <c r="C105" s="9" t="s">
        <v>549</v>
      </c>
      <c r="D105" s="9" t="s">
        <v>545</v>
      </c>
      <c r="E105" s="9" t="s">
        <v>41</v>
      </c>
      <c r="F105" s="9" t="s">
        <v>550</v>
      </c>
      <c r="G105" s="9" t="s">
        <v>287</v>
      </c>
      <c r="H105" s="18">
        <v>49059</v>
      </c>
      <c r="I105" s="18">
        <v>47269</v>
      </c>
      <c r="J105" s="9"/>
      <c r="K105" s="9"/>
      <c r="L105" s="9" t="s">
        <v>288</v>
      </c>
    </row>
    <row r="106" spans="1:12" ht="38.25" x14ac:dyDescent="0.25">
      <c r="A106" s="9">
        <v>104</v>
      </c>
      <c r="B106" s="9" t="s">
        <v>283</v>
      </c>
      <c r="C106" s="9" t="s">
        <v>551</v>
      </c>
      <c r="D106" s="9" t="s">
        <v>545</v>
      </c>
      <c r="E106" s="9" t="s">
        <v>41</v>
      </c>
      <c r="F106" s="9" t="s">
        <v>552</v>
      </c>
      <c r="G106" s="9" t="s">
        <v>287</v>
      </c>
      <c r="H106" s="18">
        <v>49059</v>
      </c>
      <c r="I106" s="18">
        <v>47269</v>
      </c>
      <c r="J106" s="9"/>
      <c r="K106" s="9"/>
      <c r="L106" s="9" t="s">
        <v>288</v>
      </c>
    </row>
    <row r="107" spans="1:12" ht="25.5" x14ac:dyDescent="0.25">
      <c r="A107" s="9">
        <v>105</v>
      </c>
      <c r="B107" s="9" t="s">
        <v>283</v>
      </c>
      <c r="C107" s="9" t="s">
        <v>553</v>
      </c>
      <c r="D107" s="9" t="s">
        <v>554</v>
      </c>
      <c r="E107" s="9" t="s">
        <v>41</v>
      </c>
      <c r="F107" s="9" t="s">
        <v>555</v>
      </c>
      <c r="G107" s="9" t="s">
        <v>287</v>
      </c>
      <c r="H107" s="18">
        <v>49059</v>
      </c>
      <c r="I107" s="18">
        <v>47269</v>
      </c>
      <c r="J107" s="9"/>
      <c r="K107" s="9"/>
      <c r="L107" s="9" t="s">
        <v>288</v>
      </c>
    </row>
    <row r="108" spans="1:12" ht="38.25" x14ac:dyDescent="0.25">
      <c r="A108" s="9">
        <v>106</v>
      </c>
      <c r="B108" s="9" t="s">
        <v>283</v>
      </c>
      <c r="C108" s="9" t="s">
        <v>556</v>
      </c>
      <c r="D108" s="9" t="s">
        <v>557</v>
      </c>
      <c r="E108" s="9" t="s">
        <v>41</v>
      </c>
      <c r="F108" s="9" t="s">
        <v>558</v>
      </c>
      <c r="G108" s="9" t="s">
        <v>287</v>
      </c>
      <c r="H108" s="18">
        <v>49059</v>
      </c>
      <c r="I108" s="18">
        <v>47269</v>
      </c>
      <c r="J108" s="9"/>
      <c r="K108" s="9"/>
      <c r="L108" s="9" t="s">
        <v>288</v>
      </c>
    </row>
    <row r="109" spans="1:12" ht="38.25" x14ac:dyDescent="0.25">
      <c r="A109" s="9">
        <v>107</v>
      </c>
      <c r="B109" s="9" t="s">
        <v>283</v>
      </c>
      <c r="C109" s="9" t="s">
        <v>559</v>
      </c>
      <c r="D109" s="9" t="s">
        <v>560</v>
      </c>
      <c r="E109" s="9" t="s">
        <v>41</v>
      </c>
      <c r="F109" s="9" t="s">
        <v>561</v>
      </c>
      <c r="G109" s="9" t="s">
        <v>287</v>
      </c>
      <c r="H109" s="18">
        <v>49059</v>
      </c>
      <c r="I109" s="18">
        <v>47269</v>
      </c>
      <c r="J109" s="9"/>
      <c r="K109" s="9"/>
      <c r="L109" s="9" t="s">
        <v>288</v>
      </c>
    </row>
    <row r="110" spans="1:12" ht="38.25" x14ac:dyDescent="0.25">
      <c r="A110" s="9">
        <v>108</v>
      </c>
      <c r="B110" s="9" t="s">
        <v>283</v>
      </c>
      <c r="C110" s="9" t="s">
        <v>562</v>
      </c>
      <c r="D110" s="9" t="s">
        <v>563</v>
      </c>
      <c r="E110" s="9" t="s">
        <v>41</v>
      </c>
      <c r="F110" s="9" t="s">
        <v>564</v>
      </c>
      <c r="G110" s="9" t="s">
        <v>287</v>
      </c>
      <c r="H110" s="18">
        <v>49059</v>
      </c>
      <c r="I110" s="18">
        <v>47269</v>
      </c>
      <c r="J110" s="9"/>
      <c r="K110" s="9"/>
      <c r="L110" s="9" t="s">
        <v>288</v>
      </c>
    </row>
    <row r="111" spans="1:12" ht="38.25" x14ac:dyDescent="0.25">
      <c r="A111" s="9">
        <v>109</v>
      </c>
      <c r="B111" s="9" t="s">
        <v>283</v>
      </c>
      <c r="C111" s="9" t="s">
        <v>565</v>
      </c>
      <c r="D111" s="9" t="s">
        <v>566</v>
      </c>
      <c r="E111" s="9" t="s">
        <v>41</v>
      </c>
      <c r="F111" s="9" t="s">
        <v>567</v>
      </c>
      <c r="G111" s="9" t="s">
        <v>287</v>
      </c>
      <c r="H111" s="18">
        <v>49059</v>
      </c>
      <c r="I111" s="18">
        <v>47269</v>
      </c>
      <c r="J111" s="9"/>
      <c r="K111" s="9"/>
      <c r="L111" s="9" t="s">
        <v>288</v>
      </c>
    </row>
    <row r="112" spans="1:12" ht="38.25" x14ac:dyDescent="0.25">
      <c r="A112" s="9">
        <v>110</v>
      </c>
      <c r="B112" s="9" t="s">
        <v>283</v>
      </c>
      <c r="C112" s="9" t="s">
        <v>568</v>
      </c>
      <c r="D112" s="9" t="s">
        <v>569</v>
      </c>
      <c r="E112" s="9" t="s">
        <v>41</v>
      </c>
      <c r="F112" s="9" t="s">
        <v>570</v>
      </c>
      <c r="G112" s="9" t="s">
        <v>287</v>
      </c>
      <c r="H112" s="18">
        <v>49059</v>
      </c>
      <c r="I112" s="18">
        <v>47269</v>
      </c>
      <c r="J112" s="9"/>
      <c r="K112" s="9"/>
      <c r="L112" s="9" t="s">
        <v>288</v>
      </c>
    </row>
    <row r="113" spans="1:12" ht="25.5" x14ac:dyDescent="0.25">
      <c r="A113" s="9">
        <v>111</v>
      </c>
      <c r="B113" s="9" t="s">
        <v>283</v>
      </c>
      <c r="C113" s="9" t="s">
        <v>571</v>
      </c>
      <c r="D113" s="9" t="s">
        <v>572</v>
      </c>
      <c r="E113" s="9" t="s">
        <v>41</v>
      </c>
      <c r="F113" s="9" t="s">
        <v>573</v>
      </c>
      <c r="G113" s="9" t="s">
        <v>287</v>
      </c>
      <c r="H113" s="18">
        <v>49059</v>
      </c>
      <c r="I113" s="18">
        <v>47269</v>
      </c>
      <c r="J113" s="9"/>
      <c r="K113" s="9"/>
      <c r="L113" s="9" t="s">
        <v>288</v>
      </c>
    </row>
    <row r="114" spans="1:12" ht="38.25" x14ac:dyDescent="0.25">
      <c r="A114" s="9">
        <v>112</v>
      </c>
      <c r="B114" s="9" t="s">
        <v>283</v>
      </c>
      <c r="C114" s="9" t="s">
        <v>574</v>
      </c>
      <c r="D114" s="9" t="s">
        <v>575</v>
      </c>
      <c r="E114" s="9" t="s">
        <v>41</v>
      </c>
      <c r="F114" s="9" t="s">
        <v>576</v>
      </c>
      <c r="G114" s="9" t="s">
        <v>287</v>
      </c>
      <c r="H114" s="18">
        <v>49059</v>
      </c>
      <c r="I114" s="18">
        <v>47269</v>
      </c>
      <c r="J114" s="9"/>
      <c r="K114" s="9"/>
      <c r="L114" s="9" t="s">
        <v>288</v>
      </c>
    </row>
    <row r="115" spans="1:12" ht="38.25" x14ac:dyDescent="0.25">
      <c r="A115" s="9">
        <v>113</v>
      </c>
      <c r="B115" s="9" t="s">
        <v>283</v>
      </c>
      <c r="C115" s="9" t="s">
        <v>577</v>
      </c>
      <c r="D115" s="9" t="s">
        <v>575</v>
      </c>
      <c r="E115" s="9" t="s">
        <v>41</v>
      </c>
      <c r="F115" s="9" t="s">
        <v>578</v>
      </c>
      <c r="G115" s="9" t="s">
        <v>287</v>
      </c>
      <c r="H115" s="18">
        <v>49059</v>
      </c>
      <c r="I115" s="18">
        <v>47269</v>
      </c>
      <c r="J115" s="9"/>
      <c r="K115" s="9"/>
      <c r="L115" s="9" t="s">
        <v>288</v>
      </c>
    </row>
    <row r="116" spans="1:12" ht="38.25" x14ac:dyDescent="0.25">
      <c r="A116" s="9">
        <v>114</v>
      </c>
      <c r="B116" s="9" t="s">
        <v>283</v>
      </c>
      <c r="C116" s="9" t="s">
        <v>579</v>
      </c>
      <c r="D116" s="9" t="s">
        <v>580</v>
      </c>
      <c r="E116" s="9" t="s">
        <v>41</v>
      </c>
      <c r="F116" s="9" t="s">
        <v>581</v>
      </c>
      <c r="G116" s="9" t="s">
        <v>287</v>
      </c>
      <c r="H116" s="18">
        <v>49059</v>
      </c>
      <c r="I116" s="18">
        <v>47269</v>
      </c>
      <c r="J116" s="9"/>
      <c r="K116" s="9"/>
      <c r="L116" s="9" t="s">
        <v>288</v>
      </c>
    </row>
    <row r="117" spans="1:12" ht="38.25" x14ac:dyDescent="0.25">
      <c r="A117" s="9">
        <v>115</v>
      </c>
      <c r="B117" s="9" t="s">
        <v>283</v>
      </c>
      <c r="C117" s="9" t="s">
        <v>582</v>
      </c>
      <c r="D117" s="9" t="s">
        <v>580</v>
      </c>
      <c r="E117" s="9" t="s">
        <v>41</v>
      </c>
      <c r="F117" s="9" t="s">
        <v>583</v>
      </c>
      <c r="G117" s="9" t="s">
        <v>287</v>
      </c>
      <c r="H117" s="18">
        <v>49059</v>
      </c>
      <c r="I117" s="18">
        <v>47269</v>
      </c>
      <c r="J117" s="9"/>
      <c r="K117" s="9"/>
      <c r="L117" s="9" t="s">
        <v>288</v>
      </c>
    </row>
    <row r="118" spans="1:12" ht="38.25" x14ac:dyDescent="0.25">
      <c r="A118" s="9">
        <v>116</v>
      </c>
      <c r="B118" s="9" t="s">
        <v>283</v>
      </c>
      <c r="C118" s="9" t="s">
        <v>584</v>
      </c>
      <c r="D118" s="9" t="s">
        <v>585</v>
      </c>
      <c r="E118" s="9" t="s">
        <v>41</v>
      </c>
      <c r="F118" s="9" t="s">
        <v>586</v>
      </c>
      <c r="G118" s="9" t="s">
        <v>287</v>
      </c>
      <c r="H118" s="18">
        <v>49059</v>
      </c>
      <c r="I118" s="18">
        <v>47269</v>
      </c>
      <c r="J118" s="9"/>
      <c r="K118" s="9"/>
      <c r="L118" s="9" t="s">
        <v>288</v>
      </c>
    </row>
    <row r="119" spans="1:12" ht="38.25" x14ac:dyDescent="0.25">
      <c r="A119" s="9">
        <v>117</v>
      </c>
      <c r="B119" s="9" t="s">
        <v>283</v>
      </c>
      <c r="C119" s="9" t="s">
        <v>587</v>
      </c>
      <c r="D119" s="9" t="s">
        <v>585</v>
      </c>
      <c r="E119" s="9" t="s">
        <v>41</v>
      </c>
      <c r="F119" s="9" t="s">
        <v>588</v>
      </c>
      <c r="G119" s="9" t="s">
        <v>287</v>
      </c>
      <c r="H119" s="18">
        <v>49059</v>
      </c>
      <c r="I119" s="18">
        <v>47269</v>
      </c>
      <c r="J119" s="9"/>
      <c r="K119" s="9"/>
      <c r="L119" s="9" t="s">
        <v>288</v>
      </c>
    </row>
    <row r="120" spans="1:12" ht="38.25" x14ac:dyDescent="0.25">
      <c r="A120" s="9">
        <v>118</v>
      </c>
      <c r="B120" s="9" t="s">
        <v>283</v>
      </c>
      <c r="C120" s="9" t="s">
        <v>589</v>
      </c>
      <c r="D120" s="9" t="s">
        <v>590</v>
      </c>
      <c r="E120" s="9" t="s">
        <v>41</v>
      </c>
      <c r="F120" s="9" t="s">
        <v>591</v>
      </c>
      <c r="G120" s="9" t="s">
        <v>287</v>
      </c>
      <c r="H120" s="18">
        <v>49059</v>
      </c>
      <c r="I120" s="18">
        <v>47269</v>
      </c>
      <c r="J120" s="9"/>
      <c r="K120" s="9"/>
      <c r="L120" s="9" t="s">
        <v>288</v>
      </c>
    </row>
    <row r="121" spans="1:12" ht="38.25" x14ac:dyDescent="0.25">
      <c r="A121" s="9">
        <v>119</v>
      </c>
      <c r="B121" s="9" t="s">
        <v>283</v>
      </c>
      <c r="C121" s="9" t="s">
        <v>592</v>
      </c>
      <c r="D121" s="9" t="s">
        <v>590</v>
      </c>
      <c r="E121" s="9" t="s">
        <v>41</v>
      </c>
      <c r="F121" s="9" t="s">
        <v>593</v>
      </c>
      <c r="G121" s="9" t="s">
        <v>287</v>
      </c>
      <c r="H121" s="18">
        <v>49059</v>
      </c>
      <c r="I121" s="18">
        <v>47269</v>
      </c>
      <c r="J121" s="9"/>
      <c r="K121" s="9"/>
      <c r="L121" s="9" t="s">
        <v>288</v>
      </c>
    </row>
    <row r="122" spans="1:12" ht="38.25" x14ac:dyDescent="0.25">
      <c r="A122" s="9">
        <v>120</v>
      </c>
      <c r="B122" s="9" t="s">
        <v>283</v>
      </c>
      <c r="C122" s="9" t="s">
        <v>594</v>
      </c>
      <c r="D122" s="9" t="s">
        <v>595</v>
      </c>
      <c r="E122" s="9" t="s">
        <v>41</v>
      </c>
      <c r="F122" s="9" t="s">
        <v>596</v>
      </c>
      <c r="G122" s="9" t="s">
        <v>287</v>
      </c>
      <c r="H122" s="18">
        <v>49059</v>
      </c>
      <c r="I122" s="18">
        <v>47269</v>
      </c>
      <c r="J122" s="9"/>
      <c r="K122" s="9"/>
      <c r="L122" s="9" t="s">
        <v>288</v>
      </c>
    </row>
    <row r="123" spans="1:12" ht="38.25" x14ac:dyDescent="0.25">
      <c r="A123" s="9">
        <v>121</v>
      </c>
      <c r="B123" s="9" t="s">
        <v>283</v>
      </c>
      <c r="C123" s="9" t="s">
        <v>597</v>
      </c>
      <c r="D123" s="9" t="s">
        <v>595</v>
      </c>
      <c r="E123" s="9" t="s">
        <v>41</v>
      </c>
      <c r="F123" s="9" t="s">
        <v>598</v>
      </c>
      <c r="G123" s="9" t="s">
        <v>287</v>
      </c>
      <c r="H123" s="18">
        <v>49059</v>
      </c>
      <c r="I123" s="18">
        <v>47269</v>
      </c>
      <c r="J123" s="9"/>
      <c r="K123" s="9"/>
      <c r="L123" s="9" t="s">
        <v>288</v>
      </c>
    </row>
    <row r="124" spans="1:12" ht="38.25" x14ac:dyDescent="0.25">
      <c r="A124" s="9">
        <v>122</v>
      </c>
      <c r="B124" s="9" t="s">
        <v>283</v>
      </c>
      <c r="C124" s="9" t="s">
        <v>599</v>
      </c>
      <c r="D124" s="9" t="s">
        <v>600</v>
      </c>
      <c r="E124" s="9" t="s">
        <v>41</v>
      </c>
      <c r="F124" s="9" t="s">
        <v>601</v>
      </c>
      <c r="G124" s="9" t="s">
        <v>287</v>
      </c>
      <c r="H124" s="18">
        <v>49059</v>
      </c>
      <c r="I124" s="18">
        <v>47269</v>
      </c>
      <c r="J124" s="9"/>
      <c r="K124" s="9"/>
      <c r="L124" s="9" t="s">
        <v>288</v>
      </c>
    </row>
    <row r="125" spans="1:12" ht="38.25" x14ac:dyDescent="0.25">
      <c r="A125" s="9">
        <v>123</v>
      </c>
      <c r="B125" s="9" t="s">
        <v>283</v>
      </c>
      <c r="C125" s="9" t="s">
        <v>602</v>
      </c>
      <c r="D125" s="9" t="s">
        <v>600</v>
      </c>
      <c r="E125" s="9" t="s">
        <v>41</v>
      </c>
      <c r="F125" s="9" t="s">
        <v>603</v>
      </c>
      <c r="G125" s="9" t="s">
        <v>287</v>
      </c>
      <c r="H125" s="18">
        <v>49059</v>
      </c>
      <c r="I125" s="18">
        <v>47269</v>
      </c>
      <c r="J125" s="9"/>
      <c r="K125" s="9"/>
      <c r="L125" s="9" t="s">
        <v>288</v>
      </c>
    </row>
    <row r="126" spans="1:12" ht="38.25" x14ac:dyDescent="0.25">
      <c r="A126" s="9">
        <v>124</v>
      </c>
      <c r="B126" s="9" t="s">
        <v>283</v>
      </c>
      <c r="C126" s="9" t="s">
        <v>604</v>
      </c>
      <c r="D126" s="9" t="s">
        <v>605</v>
      </c>
      <c r="E126" s="9" t="s">
        <v>41</v>
      </c>
      <c r="F126" s="9" t="s">
        <v>606</v>
      </c>
      <c r="G126" s="9" t="s">
        <v>287</v>
      </c>
      <c r="H126" s="18">
        <v>49059</v>
      </c>
      <c r="I126" s="18">
        <v>47269</v>
      </c>
      <c r="J126" s="9"/>
      <c r="K126" s="9"/>
      <c r="L126" s="9" t="s">
        <v>288</v>
      </c>
    </row>
    <row r="127" spans="1:12" ht="38.25" x14ac:dyDescent="0.25">
      <c r="A127" s="9">
        <v>125</v>
      </c>
      <c r="B127" s="9" t="s">
        <v>283</v>
      </c>
      <c r="C127" s="9" t="s">
        <v>607</v>
      </c>
      <c r="D127" s="9" t="s">
        <v>605</v>
      </c>
      <c r="E127" s="9" t="s">
        <v>41</v>
      </c>
      <c r="F127" s="9" t="s">
        <v>608</v>
      </c>
      <c r="G127" s="9" t="s">
        <v>287</v>
      </c>
      <c r="H127" s="18">
        <v>49059</v>
      </c>
      <c r="I127" s="18">
        <v>47269</v>
      </c>
      <c r="J127" s="9"/>
      <c r="K127" s="9"/>
      <c r="L127" s="9" t="s">
        <v>288</v>
      </c>
    </row>
    <row r="128" spans="1:12" ht="38.25" x14ac:dyDescent="0.25">
      <c r="A128" s="9">
        <v>126</v>
      </c>
      <c r="B128" s="9" t="s">
        <v>283</v>
      </c>
      <c r="C128" s="9" t="s">
        <v>609</v>
      </c>
      <c r="D128" s="9" t="s">
        <v>610</v>
      </c>
      <c r="E128" s="9" t="s">
        <v>41</v>
      </c>
      <c r="F128" s="9" t="s">
        <v>611</v>
      </c>
      <c r="G128" s="9" t="s">
        <v>287</v>
      </c>
      <c r="H128" s="18">
        <v>49059</v>
      </c>
      <c r="I128" s="18">
        <v>47269</v>
      </c>
      <c r="J128" s="9"/>
      <c r="K128" s="9"/>
      <c r="L128" s="9" t="s">
        <v>288</v>
      </c>
    </row>
    <row r="129" spans="1:12" ht="38.25" x14ac:dyDescent="0.25">
      <c r="A129" s="9">
        <v>127</v>
      </c>
      <c r="B129" s="9" t="s">
        <v>283</v>
      </c>
      <c r="C129" s="9" t="s">
        <v>612</v>
      </c>
      <c r="D129" s="9" t="s">
        <v>613</v>
      </c>
      <c r="E129" s="9" t="s">
        <v>41</v>
      </c>
      <c r="F129" s="9" t="s">
        <v>614</v>
      </c>
      <c r="G129" s="9" t="s">
        <v>287</v>
      </c>
      <c r="H129" s="18">
        <v>49059</v>
      </c>
      <c r="I129" s="18">
        <v>47269</v>
      </c>
      <c r="J129" s="9"/>
      <c r="K129" s="9"/>
      <c r="L129" s="9" t="s">
        <v>288</v>
      </c>
    </row>
    <row r="130" spans="1:12" ht="38.25" x14ac:dyDescent="0.25">
      <c r="A130" s="9">
        <v>128</v>
      </c>
      <c r="B130" s="9" t="s">
        <v>283</v>
      </c>
      <c r="C130" s="9" t="s">
        <v>615</v>
      </c>
      <c r="D130" s="9" t="s">
        <v>613</v>
      </c>
      <c r="E130" s="9" t="s">
        <v>41</v>
      </c>
      <c r="F130" s="9" t="s">
        <v>616</v>
      </c>
      <c r="G130" s="9" t="s">
        <v>287</v>
      </c>
      <c r="H130" s="18">
        <v>49059</v>
      </c>
      <c r="I130" s="18">
        <v>47269</v>
      </c>
      <c r="J130" s="9"/>
      <c r="K130" s="9"/>
      <c r="L130" s="9" t="s">
        <v>288</v>
      </c>
    </row>
    <row r="131" spans="1:12" ht="38.25" x14ac:dyDescent="0.25">
      <c r="A131" s="9">
        <v>129</v>
      </c>
      <c r="B131" s="9" t="s">
        <v>283</v>
      </c>
      <c r="C131" s="9" t="s">
        <v>617</v>
      </c>
      <c r="D131" s="9" t="s">
        <v>613</v>
      </c>
      <c r="E131" s="9" t="s">
        <v>41</v>
      </c>
      <c r="F131" s="9" t="s">
        <v>618</v>
      </c>
      <c r="G131" s="9" t="s">
        <v>287</v>
      </c>
      <c r="H131" s="18">
        <v>49059</v>
      </c>
      <c r="I131" s="18">
        <v>47269</v>
      </c>
      <c r="J131" s="9"/>
      <c r="K131" s="9"/>
      <c r="L131" s="9" t="s">
        <v>288</v>
      </c>
    </row>
    <row r="132" spans="1:12" ht="38.25" x14ac:dyDescent="0.25">
      <c r="A132" s="9">
        <v>130</v>
      </c>
      <c r="B132" s="9" t="s">
        <v>283</v>
      </c>
      <c r="C132" s="9" t="s">
        <v>619</v>
      </c>
      <c r="D132" s="9" t="s">
        <v>620</v>
      </c>
      <c r="E132" s="9" t="s">
        <v>41</v>
      </c>
      <c r="F132" s="9" t="s">
        <v>621</v>
      </c>
      <c r="G132" s="9" t="s">
        <v>287</v>
      </c>
      <c r="H132" s="18">
        <v>49059</v>
      </c>
      <c r="I132" s="18">
        <v>47269</v>
      </c>
      <c r="J132" s="9"/>
      <c r="K132" s="9"/>
      <c r="L132" s="9" t="s">
        <v>288</v>
      </c>
    </row>
    <row r="133" spans="1:12" ht="25.5" x14ac:dyDescent="0.25">
      <c r="A133" s="9">
        <v>131</v>
      </c>
      <c r="B133" s="9" t="s">
        <v>283</v>
      </c>
      <c r="C133" s="9" t="s">
        <v>622</v>
      </c>
      <c r="D133" s="9" t="s">
        <v>623</v>
      </c>
      <c r="E133" s="9" t="s">
        <v>41</v>
      </c>
      <c r="F133" s="9" t="s">
        <v>624</v>
      </c>
      <c r="G133" s="9" t="s">
        <v>287</v>
      </c>
      <c r="H133" s="18">
        <v>49059</v>
      </c>
      <c r="I133" s="18">
        <v>47269</v>
      </c>
      <c r="J133" s="9" t="s">
        <v>625</v>
      </c>
      <c r="K133" s="9"/>
      <c r="L133" s="9" t="s">
        <v>288</v>
      </c>
    </row>
    <row r="134" spans="1:12" ht="25.5" x14ac:dyDescent="0.25">
      <c r="A134" s="9">
        <v>132</v>
      </c>
      <c r="B134" s="9" t="s">
        <v>283</v>
      </c>
      <c r="C134" s="9" t="s">
        <v>626</v>
      </c>
      <c r="D134" s="9" t="s">
        <v>627</v>
      </c>
      <c r="E134" s="9" t="s">
        <v>41</v>
      </c>
      <c r="F134" s="9" t="s">
        <v>628</v>
      </c>
      <c r="G134" s="9" t="s">
        <v>287</v>
      </c>
      <c r="H134" s="18">
        <v>49059</v>
      </c>
      <c r="I134" s="18">
        <v>47269</v>
      </c>
      <c r="J134" s="9"/>
      <c r="K134" s="9"/>
      <c r="L134" s="9" t="s">
        <v>288</v>
      </c>
    </row>
    <row r="135" spans="1:12" ht="51" x14ac:dyDescent="0.25">
      <c r="A135" s="9">
        <v>133</v>
      </c>
      <c r="B135" s="9" t="s">
        <v>283</v>
      </c>
      <c r="C135" s="9" t="s">
        <v>629</v>
      </c>
      <c r="D135" s="9" t="s">
        <v>630</v>
      </c>
      <c r="E135" s="9" t="s">
        <v>41</v>
      </c>
      <c r="F135" s="9" t="s">
        <v>631</v>
      </c>
      <c r="G135" s="9" t="s">
        <v>287</v>
      </c>
      <c r="H135" s="18">
        <v>49059</v>
      </c>
      <c r="I135" s="18">
        <v>47269</v>
      </c>
      <c r="J135" s="9"/>
      <c r="K135" s="9"/>
      <c r="L135" s="9" t="s">
        <v>288</v>
      </c>
    </row>
    <row r="136" spans="1:12" ht="38.25" x14ac:dyDescent="0.25">
      <c r="A136" s="9">
        <v>134</v>
      </c>
      <c r="B136" s="9" t="s">
        <v>283</v>
      </c>
      <c r="C136" s="9" t="s">
        <v>632</v>
      </c>
      <c r="D136" s="9" t="s">
        <v>633</v>
      </c>
      <c r="E136" s="9" t="s">
        <v>41</v>
      </c>
      <c r="F136" s="9" t="s">
        <v>634</v>
      </c>
      <c r="G136" s="9" t="s">
        <v>287</v>
      </c>
      <c r="H136" s="18">
        <v>49059</v>
      </c>
      <c r="I136" s="18">
        <v>47269</v>
      </c>
      <c r="J136" s="9"/>
      <c r="K136" s="9"/>
      <c r="L136" s="9" t="s">
        <v>288</v>
      </c>
    </row>
    <row r="137" spans="1:12" ht="38.25" x14ac:dyDescent="0.25">
      <c r="A137" s="9">
        <v>135</v>
      </c>
      <c r="B137" s="9" t="s">
        <v>283</v>
      </c>
      <c r="C137" s="9" t="s">
        <v>635</v>
      </c>
      <c r="D137" s="9" t="s">
        <v>636</v>
      </c>
      <c r="E137" s="9" t="s">
        <v>41</v>
      </c>
      <c r="F137" s="9" t="s">
        <v>637</v>
      </c>
      <c r="G137" s="9" t="s">
        <v>287</v>
      </c>
      <c r="H137" s="18">
        <v>49059</v>
      </c>
      <c r="I137" s="18">
        <v>47269</v>
      </c>
      <c r="J137" s="9"/>
      <c r="K137" s="9"/>
      <c r="L137" s="9" t="s">
        <v>288</v>
      </c>
    </row>
    <row r="138" spans="1:12" ht="38.25" x14ac:dyDescent="0.25">
      <c r="A138" s="9">
        <v>136</v>
      </c>
      <c r="B138" s="9" t="s">
        <v>283</v>
      </c>
      <c r="C138" s="9" t="s">
        <v>638</v>
      </c>
      <c r="D138" s="9" t="s">
        <v>639</v>
      </c>
      <c r="E138" s="9" t="s">
        <v>41</v>
      </c>
      <c r="F138" s="9" t="s">
        <v>640</v>
      </c>
      <c r="G138" s="9" t="s">
        <v>287</v>
      </c>
      <c r="H138" s="18">
        <v>49059</v>
      </c>
      <c r="I138" s="18">
        <v>47269</v>
      </c>
      <c r="J138" s="9"/>
      <c r="K138" s="9"/>
      <c r="L138" s="9" t="s">
        <v>288</v>
      </c>
    </row>
    <row r="139" spans="1:12" ht="38.25" x14ac:dyDescent="0.25">
      <c r="A139" s="9">
        <v>137</v>
      </c>
      <c r="B139" s="9" t="s">
        <v>283</v>
      </c>
      <c r="C139" s="9" t="s">
        <v>641</v>
      </c>
      <c r="D139" s="9" t="s">
        <v>642</v>
      </c>
      <c r="E139" s="9" t="s">
        <v>41</v>
      </c>
      <c r="F139" s="9" t="s">
        <v>643</v>
      </c>
      <c r="G139" s="9" t="s">
        <v>287</v>
      </c>
      <c r="H139" s="18">
        <v>49059</v>
      </c>
      <c r="I139" s="18">
        <v>47269</v>
      </c>
      <c r="J139" s="9"/>
      <c r="K139" s="9"/>
      <c r="L139" s="9" t="s">
        <v>288</v>
      </c>
    </row>
    <row r="140" spans="1:12" ht="38.25" x14ac:dyDescent="0.25">
      <c r="A140" s="9">
        <v>138</v>
      </c>
      <c r="B140" s="9" t="s">
        <v>283</v>
      </c>
      <c r="C140" s="9" t="s">
        <v>644</v>
      </c>
      <c r="D140" s="9" t="s">
        <v>642</v>
      </c>
      <c r="E140" s="9" t="s">
        <v>41</v>
      </c>
      <c r="F140" s="9" t="s">
        <v>645</v>
      </c>
      <c r="G140" s="9" t="s">
        <v>287</v>
      </c>
      <c r="H140" s="18">
        <v>49059</v>
      </c>
      <c r="I140" s="18">
        <v>47269</v>
      </c>
      <c r="J140" s="9"/>
      <c r="K140" s="9"/>
      <c r="L140" s="9" t="s">
        <v>288</v>
      </c>
    </row>
    <row r="141" spans="1:12" ht="51" x14ac:dyDescent="0.25">
      <c r="A141" s="9">
        <v>139</v>
      </c>
      <c r="B141" s="9" t="s">
        <v>283</v>
      </c>
      <c r="C141" s="9" t="s">
        <v>646</v>
      </c>
      <c r="D141" s="9" t="s">
        <v>642</v>
      </c>
      <c r="E141" s="9" t="s">
        <v>41</v>
      </c>
      <c r="F141" s="9" t="s">
        <v>647</v>
      </c>
      <c r="G141" s="9" t="s">
        <v>287</v>
      </c>
      <c r="H141" s="18">
        <v>49059</v>
      </c>
      <c r="I141" s="18">
        <v>47269</v>
      </c>
      <c r="J141" s="9"/>
      <c r="K141" s="9"/>
      <c r="L141" s="9" t="s">
        <v>288</v>
      </c>
    </row>
    <row r="142" spans="1:12" ht="51" x14ac:dyDescent="0.25">
      <c r="A142" s="9">
        <v>140</v>
      </c>
      <c r="B142" s="9" t="s">
        <v>283</v>
      </c>
      <c r="C142" s="9" t="s">
        <v>648</v>
      </c>
      <c r="D142" s="9" t="s">
        <v>642</v>
      </c>
      <c r="E142" s="9" t="s">
        <v>41</v>
      </c>
      <c r="F142" s="9" t="s">
        <v>649</v>
      </c>
      <c r="G142" s="9" t="s">
        <v>287</v>
      </c>
      <c r="H142" s="18">
        <v>49059</v>
      </c>
      <c r="I142" s="18">
        <v>47269</v>
      </c>
      <c r="J142" s="9"/>
      <c r="K142" s="9"/>
      <c r="L142" s="9" t="s">
        <v>288</v>
      </c>
    </row>
    <row r="143" spans="1:12" ht="38.25" x14ac:dyDescent="0.25">
      <c r="A143" s="9">
        <v>141</v>
      </c>
      <c r="B143" s="9" t="s">
        <v>283</v>
      </c>
      <c r="C143" s="9" t="s">
        <v>650</v>
      </c>
      <c r="D143" s="9" t="s">
        <v>651</v>
      </c>
      <c r="E143" s="9" t="s">
        <v>41</v>
      </c>
      <c r="F143" s="9" t="s">
        <v>652</v>
      </c>
      <c r="G143" s="9" t="s">
        <v>287</v>
      </c>
      <c r="H143" s="18">
        <v>49059</v>
      </c>
      <c r="I143" s="18">
        <v>47269</v>
      </c>
      <c r="J143" s="9"/>
      <c r="K143" s="9"/>
      <c r="L143" s="9" t="s">
        <v>288</v>
      </c>
    </row>
    <row r="144" spans="1:12" ht="38.25" x14ac:dyDescent="0.25">
      <c r="A144" s="9">
        <v>142</v>
      </c>
      <c r="B144" s="9" t="s">
        <v>283</v>
      </c>
      <c r="C144" s="9" t="s">
        <v>653</v>
      </c>
      <c r="D144" s="9" t="s">
        <v>651</v>
      </c>
      <c r="E144" s="9" t="s">
        <v>41</v>
      </c>
      <c r="F144" s="9" t="s">
        <v>654</v>
      </c>
      <c r="G144" s="9" t="s">
        <v>287</v>
      </c>
      <c r="H144" s="18">
        <v>49059</v>
      </c>
      <c r="I144" s="18">
        <v>47269</v>
      </c>
      <c r="J144" s="9"/>
      <c r="K144" s="9"/>
      <c r="L144" s="9" t="s">
        <v>288</v>
      </c>
    </row>
    <row r="145" spans="1:12" ht="38.25" x14ac:dyDescent="0.25">
      <c r="A145" s="9">
        <v>143</v>
      </c>
      <c r="B145" s="9" t="s">
        <v>283</v>
      </c>
      <c r="C145" s="9" t="s">
        <v>655</v>
      </c>
      <c r="D145" s="9" t="s">
        <v>336</v>
      </c>
      <c r="E145" s="9" t="s">
        <v>41</v>
      </c>
      <c r="F145" s="9" t="s">
        <v>656</v>
      </c>
      <c r="G145" s="9" t="s">
        <v>287</v>
      </c>
      <c r="H145" s="18">
        <v>49059</v>
      </c>
      <c r="I145" s="18">
        <v>47269</v>
      </c>
      <c r="J145" s="9"/>
      <c r="K145" s="9"/>
      <c r="L145" s="9" t="s">
        <v>288</v>
      </c>
    </row>
    <row r="146" spans="1:12" ht="38.25" x14ac:dyDescent="0.25">
      <c r="A146" s="9">
        <v>144</v>
      </c>
      <c r="B146" s="9" t="s">
        <v>283</v>
      </c>
      <c r="C146" s="9" t="s">
        <v>657</v>
      </c>
      <c r="D146" s="9" t="s">
        <v>373</v>
      </c>
      <c r="E146" s="9" t="s">
        <v>41</v>
      </c>
      <c r="F146" s="9" t="s">
        <v>658</v>
      </c>
      <c r="G146" s="9" t="s">
        <v>287</v>
      </c>
      <c r="H146" s="18">
        <v>49059</v>
      </c>
      <c r="I146" s="18">
        <v>47269</v>
      </c>
      <c r="J146" s="9"/>
      <c r="K146" s="9"/>
      <c r="L146" s="9" t="s">
        <v>288</v>
      </c>
    </row>
    <row r="147" spans="1:12" ht="38.25" x14ac:dyDescent="0.25">
      <c r="A147" s="9">
        <v>145</v>
      </c>
      <c r="B147" s="9" t="s">
        <v>283</v>
      </c>
      <c r="C147" s="9" t="s">
        <v>659</v>
      </c>
      <c r="D147" s="9" t="s">
        <v>373</v>
      </c>
      <c r="E147" s="9" t="s">
        <v>41</v>
      </c>
      <c r="F147" s="9" t="s">
        <v>660</v>
      </c>
      <c r="G147" s="9" t="s">
        <v>287</v>
      </c>
      <c r="H147" s="18">
        <v>49059</v>
      </c>
      <c r="I147" s="18">
        <v>47269</v>
      </c>
      <c r="J147" s="9"/>
      <c r="K147" s="9"/>
      <c r="L147" s="9" t="s">
        <v>288</v>
      </c>
    </row>
    <row r="148" spans="1:12" ht="38.25" x14ac:dyDescent="0.25">
      <c r="A148" s="9">
        <v>146</v>
      </c>
      <c r="B148" s="9" t="s">
        <v>283</v>
      </c>
      <c r="C148" s="9" t="s">
        <v>661</v>
      </c>
      <c r="D148" s="9" t="s">
        <v>662</v>
      </c>
      <c r="E148" s="9" t="s">
        <v>41</v>
      </c>
      <c r="F148" s="9" t="s">
        <v>663</v>
      </c>
      <c r="G148" s="9" t="s">
        <v>287</v>
      </c>
      <c r="H148" s="18">
        <v>49059</v>
      </c>
      <c r="I148" s="18">
        <v>47269</v>
      </c>
      <c r="J148" s="9"/>
      <c r="K148" s="9"/>
      <c r="L148" s="9" t="s">
        <v>288</v>
      </c>
    </row>
    <row r="149" spans="1:12" ht="38.25" x14ac:dyDescent="0.25">
      <c r="A149" s="9">
        <v>147</v>
      </c>
      <c r="B149" s="9" t="s">
        <v>283</v>
      </c>
      <c r="C149" s="9" t="s">
        <v>664</v>
      </c>
      <c r="D149" s="9" t="s">
        <v>662</v>
      </c>
      <c r="E149" s="9" t="s">
        <v>41</v>
      </c>
      <c r="F149" s="9" t="s">
        <v>665</v>
      </c>
      <c r="G149" s="9" t="s">
        <v>287</v>
      </c>
      <c r="H149" s="18">
        <v>49059</v>
      </c>
      <c r="I149" s="18">
        <v>47269</v>
      </c>
      <c r="J149" s="9"/>
      <c r="K149" s="9"/>
      <c r="L149" s="9" t="s">
        <v>288</v>
      </c>
    </row>
    <row r="150" spans="1:12" ht="38.25" x14ac:dyDescent="0.25">
      <c r="A150" s="9">
        <v>148</v>
      </c>
      <c r="B150" s="9" t="s">
        <v>283</v>
      </c>
      <c r="C150" s="9" t="s">
        <v>666</v>
      </c>
      <c r="D150" s="9" t="s">
        <v>373</v>
      </c>
      <c r="E150" s="9" t="s">
        <v>41</v>
      </c>
      <c r="F150" s="9" t="s">
        <v>667</v>
      </c>
      <c r="G150" s="9" t="s">
        <v>287</v>
      </c>
      <c r="H150" s="18">
        <v>49059</v>
      </c>
      <c r="I150" s="18">
        <v>47269</v>
      </c>
      <c r="J150" s="9"/>
      <c r="K150" s="9"/>
      <c r="L150" s="9" t="s">
        <v>288</v>
      </c>
    </row>
    <row r="151" spans="1:12" ht="38.25" x14ac:dyDescent="0.25">
      <c r="A151" s="9">
        <v>149</v>
      </c>
      <c r="B151" s="9" t="s">
        <v>283</v>
      </c>
      <c r="C151" s="9" t="s">
        <v>668</v>
      </c>
      <c r="D151" s="9" t="s">
        <v>669</v>
      </c>
      <c r="E151" s="9" t="s">
        <v>41</v>
      </c>
      <c r="F151" s="9" t="s">
        <v>670</v>
      </c>
      <c r="G151" s="9" t="s">
        <v>287</v>
      </c>
      <c r="H151" s="18">
        <v>49059</v>
      </c>
      <c r="I151" s="18">
        <v>47269</v>
      </c>
      <c r="J151" s="9"/>
      <c r="K151" s="9"/>
      <c r="L151" s="9" t="s">
        <v>288</v>
      </c>
    </row>
    <row r="152" spans="1:12" ht="38.25" x14ac:dyDescent="0.25">
      <c r="A152" s="9">
        <v>150</v>
      </c>
      <c r="B152" s="9" t="s">
        <v>283</v>
      </c>
      <c r="C152" s="9" t="s">
        <v>671</v>
      </c>
      <c r="D152" s="9" t="s">
        <v>373</v>
      </c>
      <c r="E152" s="9" t="s">
        <v>41</v>
      </c>
      <c r="F152" s="9" t="s">
        <v>672</v>
      </c>
      <c r="G152" s="9" t="s">
        <v>287</v>
      </c>
      <c r="H152" s="18">
        <v>49059</v>
      </c>
      <c r="I152" s="18">
        <v>47269</v>
      </c>
      <c r="J152" s="9"/>
      <c r="K152" s="9"/>
      <c r="L152" s="9" t="s">
        <v>288</v>
      </c>
    </row>
    <row r="153" spans="1:12" ht="38.25" x14ac:dyDescent="0.25">
      <c r="A153" s="9">
        <v>151</v>
      </c>
      <c r="B153" s="9" t="s">
        <v>283</v>
      </c>
      <c r="C153" s="9" t="s">
        <v>673</v>
      </c>
      <c r="D153" s="9" t="s">
        <v>674</v>
      </c>
      <c r="E153" s="9" t="s">
        <v>41</v>
      </c>
      <c r="F153" s="9" t="s">
        <v>675</v>
      </c>
      <c r="G153" s="9" t="s">
        <v>287</v>
      </c>
      <c r="H153" s="18">
        <v>49059</v>
      </c>
      <c r="I153" s="18">
        <v>47269</v>
      </c>
      <c r="J153" s="9"/>
      <c r="K153" s="9"/>
      <c r="L153" s="9" t="s">
        <v>288</v>
      </c>
    </row>
    <row r="154" spans="1:12" ht="38.25" x14ac:dyDescent="0.25">
      <c r="A154" s="9">
        <v>152</v>
      </c>
      <c r="B154" s="9" t="s">
        <v>283</v>
      </c>
      <c r="C154" s="9" t="s">
        <v>676</v>
      </c>
      <c r="D154" s="9" t="s">
        <v>677</v>
      </c>
      <c r="E154" s="9" t="s">
        <v>41</v>
      </c>
      <c r="F154" s="9" t="s">
        <v>678</v>
      </c>
      <c r="G154" s="9" t="s">
        <v>287</v>
      </c>
      <c r="H154" s="18">
        <v>49059</v>
      </c>
      <c r="I154" s="18">
        <v>47269</v>
      </c>
      <c r="J154" s="9"/>
      <c r="K154" s="9"/>
      <c r="L154" s="9" t="s">
        <v>288</v>
      </c>
    </row>
    <row r="155" spans="1:12" ht="38.25" x14ac:dyDescent="0.25">
      <c r="A155" s="9">
        <v>153</v>
      </c>
      <c r="B155" s="9" t="s">
        <v>283</v>
      </c>
      <c r="C155" s="9" t="s">
        <v>679</v>
      </c>
      <c r="D155" s="9" t="s">
        <v>680</v>
      </c>
      <c r="E155" s="9" t="s">
        <v>41</v>
      </c>
      <c r="F155" s="9" t="s">
        <v>681</v>
      </c>
      <c r="G155" s="9" t="s">
        <v>287</v>
      </c>
      <c r="H155" s="18">
        <v>49059</v>
      </c>
      <c r="I155" s="18">
        <v>47269</v>
      </c>
      <c r="J155" s="9"/>
      <c r="K155" s="9"/>
      <c r="L155" s="9" t="s">
        <v>288</v>
      </c>
    </row>
    <row r="156" spans="1:12" ht="51" x14ac:dyDescent="0.25">
      <c r="A156" s="9">
        <v>154</v>
      </c>
      <c r="B156" s="9" t="s">
        <v>283</v>
      </c>
      <c r="C156" s="9" t="s">
        <v>682</v>
      </c>
      <c r="D156" s="9" t="s">
        <v>683</v>
      </c>
      <c r="E156" s="9" t="s">
        <v>41</v>
      </c>
      <c r="F156" s="9" t="s">
        <v>684</v>
      </c>
      <c r="G156" s="9" t="s">
        <v>287</v>
      </c>
      <c r="H156" s="18">
        <v>49059</v>
      </c>
      <c r="I156" s="18">
        <v>47269</v>
      </c>
      <c r="J156" s="9"/>
      <c r="K156" s="9"/>
      <c r="L156" s="9" t="s">
        <v>288</v>
      </c>
    </row>
    <row r="157" spans="1:12" ht="38.25" x14ac:dyDescent="0.25">
      <c r="A157" s="9">
        <v>155</v>
      </c>
      <c r="B157" s="9" t="s">
        <v>283</v>
      </c>
      <c r="C157" s="9" t="s">
        <v>685</v>
      </c>
      <c r="D157" s="9" t="s">
        <v>683</v>
      </c>
      <c r="E157" s="9" t="s">
        <v>41</v>
      </c>
      <c r="F157" s="9" t="s">
        <v>686</v>
      </c>
      <c r="G157" s="9" t="s">
        <v>287</v>
      </c>
      <c r="H157" s="18">
        <v>49059</v>
      </c>
      <c r="I157" s="18">
        <v>47269</v>
      </c>
      <c r="J157" s="9"/>
      <c r="K157" s="9"/>
      <c r="L157" s="9" t="s">
        <v>288</v>
      </c>
    </row>
    <row r="158" spans="1:12" ht="38.25" x14ac:dyDescent="0.25">
      <c r="A158" s="9">
        <v>156</v>
      </c>
      <c r="B158" s="9" t="s">
        <v>283</v>
      </c>
      <c r="C158" s="9" t="s">
        <v>687</v>
      </c>
      <c r="D158" s="9" t="s">
        <v>688</v>
      </c>
      <c r="E158" s="9" t="s">
        <v>41</v>
      </c>
      <c r="F158" s="9" t="s">
        <v>689</v>
      </c>
      <c r="G158" s="9" t="s">
        <v>287</v>
      </c>
      <c r="H158" s="18">
        <v>49059</v>
      </c>
      <c r="I158" s="18">
        <v>47269</v>
      </c>
      <c r="J158" s="9"/>
      <c r="K158" s="9"/>
      <c r="L158" s="9" t="s">
        <v>288</v>
      </c>
    </row>
    <row r="159" spans="1:12" ht="38.25" x14ac:dyDescent="0.25">
      <c r="A159" s="9">
        <v>157</v>
      </c>
      <c r="B159" s="9" t="s">
        <v>283</v>
      </c>
      <c r="C159" s="9" t="s">
        <v>690</v>
      </c>
      <c r="D159" s="9" t="s">
        <v>691</v>
      </c>
      <c r="E159" s="9" t="s">
        <v>41</v>
      </c>
      <c r="F159" s="9" t="s">
        <v>692</v>
      </c>
      <c r="G159" s="9" t="s">
        <v>287</v>
      </c>
      <c r="H159" s="18">
        <v>49059</v>
      </c>
      <c r="I159" s="18">
        <v>47269</v>
      </c>
      <c r="J159" s="9"/>
      <c r="K159" s="9"/>
      <c r="L159" s="9" t="s">
        <v>288</v>
      </c>
    </row>
    <row r="160" spans="1:12" ht="38.25" x14ac:dyDescent="0.25">
      <c r="A160" s="9">
        <v>158</v>
      </c>
      <c r="B160" s="9" t="s">
        <v>283</v>
      </c>
      <c r="C160" s="9" t="s">
        <v>693</v>
      </c>
      <c r="D160" s="9" t="s">
        <v>694</v>
      </c>
      <c r="E160" s="9" t="s">
        <v>41</v>
      </c>
      <c r="F160" s="9" t="s">
        <v>695</v>
      </c>
      <c r="G160" s="9" t="s">
        <v>287</v>
      </c>
      <c r="H160" s="18">
        <v>49059</v>
      </c>
      <c r="I160" s="18">
        <v>47269</v>
      </c>
      <c r="J160" s="9"/>
      <c r="K160" s="9"/>
      <c r="L160" s="9" t="s">
        <v>288</v>
      </c>
    </row>
    <row r="161" spans="1:12" ht="38.25" x14ac:dyDescent="0.25">
      <c r="A161" s="9">
        <v>159</v>
      </c>
      <c r="B161" s="9" t="s">
        <v>283</v>
      </c>
      <c r="C161" s="9" t="s">
        <v>696</v>
      </c>
      <c r="D161" s="9" t="s">
        <v>697</v>
      </c>
      <c r="E161" s="9" t="s">
        <v>41</v>
      </c>
      <c r="F161" s="9" t="s">
        <v>698</v>
      </c>
      <c r="G161" s="9" t="s">
        <v>287</v>
      </c>
      <c r="H161" s="18">
        <v>49059</v>
      </c>
      <c r="I161" s="18">
        <v>47269</v>
      </c>
      <c r="J161" s="9"/>
      <c r="K161" s="9"/>
      <c r="L161" s="9" t="s">
        <v>288</v>
      </c>
    </row>
    <row r="162" spans="1:12" ht="51" x14ac:dyDescent="0.25">
      <c r="A162" s="9">
        <v>160</v>
      </c>
      <c r="B162" s="9" t="s">
        <v>283</v>
      </c>
      <c r="C162" s="9" t="s">
        <v>699</v>
      </c>
      <c r="D162" s="9" t="s">
        <v>700</v>
      </c>
      <c r="E162" s="9" t="s">
        <v>41</v>
      </c>
      <c r="F162" s="9" t="s">
        <v>701</v>
      </c>
      <c r="G162" s="9" t="s">
        <v>287</v>
      </c>
      <c r="H162" s="18">
        <v>49059</v>
      </c>
      <c r="I162" s="18">
        <v>47269</v>
      </c>
      <c r="J162" s="9"/>
      <c r="K162" s="9"/>
      <c r="L162" s="9" t="s">
        <v>288</v>
      </c>
    </row>
    <row r="163" spans="1:12" ht="38.25" x14ac:dyDescent="0.25">
      <c r="A163" s="9">
        <v>161</v>
      </c>
      <c r="B163" s="9" t="s">
        <v>283</v>
      </c>
      <c r="C163" s="9" t="s">
        <v>702</v>
      </c>
      <c r="D163" s="9" t="s">
        <v>700</v>
      </c>
      <c r="E163" s="9" t="s">
        <v>41</v>
      </c>
      <c r="F163" s="9" t="s">
        <v>703</v>
      </c>
      <c r="G163" s="9" t="s">
        <v>287</v>
      </c>
      <c r="H163" s="18">
        <v>49059</v>
      </c>
      <c r="I163" s="18">
        <v>47269</v>
      </c>
      <c r="J163" s="9"/>
      <c r="K163" s="9"/>
      <c r="L163" s="9" t="s">
        <v>288</v>
      </c>
    </row>
    <row r="164" spans="1:12" ht="114.75" x14ac:dyDescent="0.25">
      <c r="A164" s="9">
        <v>162</v>
      </c>
      <c r="B164" s="9" t="s">
        <v>283</v>
      </c>
      <c r="C164" s="9" t="s">
        <v>704</v>
      </c>
      <c r="D164" s="9" t="s">
        <v>705</v>
      </c>
      <c r="E164" s="9" t="s">
        <v>41</v>
      </c>
      <c r="F164" s="9" t="s">
        <v>706</v>
      </c>
      <c r="G164" s="9" t="s">
        <v>287</v>
      </c>
      <c r="H164" s="18">
        <v>49059</v>
      </c>
      <c r="I164" s="18">
        <v>47269</v>
      </c>
      <c r="J164" s="9" t="s">
        <v>707</v>
      </c>
      <c r="K164" s="9"/>
      <c r="L164" s="9" t="s">
        <v>288</v>
      </c>
    </row>
    <row r="165" spans="1:12" ht="38.25" x14ac:dyDescent="0.25">
      <c r="A165" s="9">
        <v>163</v>
      </c>
      <c r="B165" s="9" t="s">
        <v>283</v>
      </c>
      <c r="C165" s="9" t="s">
        <v>708</v>
      </c>
      <c r="D165" s="9" t="s">
        <v>709</v>
      </c>
      <c r="E165" s="9" t="s">
        <v>41</v>
      </c>
      <c r="F165" s="9" t="s">
        <v>710</v>
      </c>
      <c r="G165" s="9" t="s">
        <v>287</v>
      </c>
      <c r="H165" s="18">
        <v>49059</v>
      </c>
      <c r="I165" s="18">
        <v>47269</v>
      </c>
      <c r="J165" s="9"/>
      <c r="K165" s="9"/>
      <c r="L165" s="9" t="s">
        <v>288</v>
      </c>
    </row>
    <row r="166" spans="1:12" ht="51" x14ac:dyDescent="0.25">
      <c r="A166" s="9">
        <v>164</v>
      </c>
      <c r="B166" s="9" t="s">
        <v>283</v>
      </c>
      <c r="C166" s="9" t="s">
        <v>711</v>
      </c>
      <c r="D166" s="9" t="s">
        <v>712</v>
      </c>
      <c r="E166" s="9" t="s">
        <v>41</v>
      </c>
      <c r="F166" s="9" t="s">
        <v>713</v>
      </c>
      <c r="G166" s="9" t="s">
        <v>287</v>
      </c>
      <c r="H166" s="18">
        <v>49059</v>
      </c>
      <c r="I166" s="18">
        <v>47269</v>
      </c>
      <c r="J166" s="9"/>
      <c r="K166" s="9"/>
      <c r="L166" s="9" t="s">
        <v>288</v>
      </c>
    </row>
    <row r="167" spans="1:12" ht="38.25" x14ac:dyDescent="0.25">
      <c r="A167" s="9">
        <v>165</v>
      </c>
      <c r="B167" s="9" t="s">
        <v>283</v>
      </c>
      <c r="C167" s="9" t="s">
        <v>714</v>
      </c>
      <c r="D167" s="9" t="s">
        <v>715</v>
      </c>
      <c r="E167" s="9" t="s">
        <v>41</v>
      </c>
      <c r="F167" s="9" t="s">
        <v>716</v>
      </c>
      <c r="G167" s="9" t="s">
        <v>287</v>
      </c>
      <c r="H167" s="18">
        <v>49059</v>
      </c>
      <c r="I167" s="18">
        <v>47269</v>
      </c>
      <c r="J167" s="9"/>
      <c r="K167" s="9"/>
      <c r="L167" s="9" t="s">
        <v>288</v>
      </c>
    </row>
    <row r="168" spans="1:12" ht="38.25" x14ac:dyDescent="0.25">
      <c r="A168" s="9">
        <v>166</v>
      </c>
      <c r="B168" s="9" t="s">
        <v>283</v>
      </c>
      <c r="C168" s="9" t="s">
        <v>717</v>
      </c>
      <c r="D168" s="9" t="s">
        <v>718</v>
      </c>
      <c r="E168" s="9" t="s">
        <v>41</v>
      </c>
      <c r="F168" s="9" t="s">
        <v>719</v>
      </c>
      <c r="G168" s="9" t="s">
        <v>287</v>
      </c>
      <c r="H168" s="18">
        <v>49059</v>
      </c>
      <c r="I168" s="18">
        <v>47269</v>
      </c>
      <c r="J168" s="9"/>
      <c r="K168" s="9"/>
      <c r="L168" s="9" t="s">
        <v>288</v>
      </c>
    </row>
    <row r="169" spans="1:12" ht="38.25" x14ac:dyDescent="0.25">
      <c r="A169" s="9">
        <v>167</v>
      </c>
      <c r="B169" s="9" t="s">
        <v>283</v>
      </c>
      <c r="C169" s="9" t="s">
        <v>720</v>
      </c>
      <c r="D169" s="9" t="s">
        <v>721</v>
      </c>
      <c r="E169" s="9" t="s">
        <v>41</v>
      </c>
      <c r="F169" s="9" t="s">
        <v>722</v>
      </c>
      <c r="G169" s="9" t="s">
        <v>287</v>
      </c>
      <c r="H169" s="18">
        <v>49059</v>
      </c>
      <c r="I169" s="18">
        <v>47269</v>
      </c>
      <c r="J169" s="9"/>
      <c r="K169" s="9"/>
      <c r="L169" s="9" t="s">
        <v>288</v>
      </c>
    </row>
    <row r="170" spans="1:12" ht="51" x14ac:dyDescent="0.25">
      <c r="A170" s="9">
        <v>168</v>
      </c>
      <c r="B170" s="9" t="s">
        <v>283</v>
      </c>
      <c r="C170" s="9" t="s">
        <v>723</v>
      </c>
      <c r="D170" s="9" t="s">
        <v>724</v>
      </c>
      <c r="E170" s="9" t="s">
        <v>41</v>
      </c>
      <c r="F170" s="9" t="s">
        <v>725</v>
      </c>
      <c r="G170" s="9" t="s">
        <v>287</v>
      </c>
      <c r="H170" s="18">
        <v>49059</v>
      </c>
      <c r="I170" s="18">
        <v>47269</v>
      </c>
      <c r="J170" s="9"/>
      <c r="K170" s="9"/>
      <c r="L170" s="9" t="s">
        <v>288</v>
      </c>
    </row>
    <row r="171" spans="1:12" ht="25.5" x14ac:dyDescent="0.25">
      <c r="A171" s="9">
        <v>169</v>
      </c>
      <c r="B171" s="9" t="s">
        <v>283</v>
      </c>
      <c r="C171" s="9" t="s">
        <v>726</v>
      </c>
      <c r="D171" s="9" t="s">
        <v>727</v>
      </c>
      <c r="E171" s="9" t="s">
        <v>41</v>
      </c>
      <c r="F171" s="9" t="s">
        <v>728</v>
      </c>
      <c r="G171" s="9" t="s">
        <v>287</v>
      </c>
      <c r="H171" s="18">
        <v>49059</v>
      </c>
      <c r="I171" s="18">
        <v>47269</v>
      </c>
      <c r="J171" s="9" t="s">
        <v>729</v>
      </c>
      <c r="K171" s="9"/>
      <c r="L171" s="9" t="s">
        <v>288</v>
      </c>
    </row>
    <row r="172" spans="1:12" ht="51" x14ac:dyDescent="0.25">
      <c r="A172" s="9">
        <v>170</v>
      </c>
      <c r="B172" s="9" t="s">
        <v>283</v>
      </c>
      <c r="C172" s="9" t="s">
        <v>730</v>
      </c>
      <c r="D172" s="9" t="s">
        <v>731</v>
      </c>
      <c r="E172" s="9" t="s">
        <v>41</v>
      </c>
      <c r="F172" s="9" t="s">
        <v>732</v>
      </c>
      <c r="G172" s="9" t="s">
        <v>287</v>
      </c>
      <c r="H172" s="18">
        <v>49059</v>
      </c>
      <c r="I172" s="18">
        <v>47269</v>
      </c>
      <c r="J172" s="9"/>
      <c r="K172" s="9"/>
      <c r="L172" s="9" t="s">
        <v>288</v>
      </c>
    </row>
    <row r="173" spans="1:12" ht="38.25" x14ac:dyDescent="0.25">
      <c r="A173" s="9">
        <v>171</v>
      </c>
      <c r="B173" s="9" t="s">
        <v>283</v>
      </c>
      <c r="C173" s="9" t="s">
        <v>733</v>
      </c>
      <c r="D173" s="9" t="s">
        <v>731</v>
      </c>
      <c r="E173" s="9" t="s">
        <v>41</v>
      </c>
      <c r="F173" s="9" t="s">
        <v>734</v>
      </c>
      <c r="G173" s="9" t="s">
        <v>287</v>
      </c>
      <c r="H173" s="18">
        <v>49059</v>
      </c>
      <c r="I173" s="18">
        <v>47269</v>
      </c>
      <c r="J173" s="9"/>
      <c r="K173" s="9"/>
      <c r="L173" s="9" t="s">
        <v>288</v>
      </c>
    </row>
    <row r="174" spans="1:12" ht="51" x14ac:dyDescent="0.25">
      <c r="A174" s="9">
        <v>172</v>
      </c>
      <c r="B174" s="9" t="s">
        <v>283</v>
      </c>
      <c r="C174" s="9" t="s">
        <v>735</v>
      </c>
      <c r="D174" s="9" t="s">
        <v>736</v>
      </c>
      <c r="E174" s="9" t="s">
        <v>41</v>
      </c>
      <c r="F174" s="9" t="s">
        <v>737</v>
      </c>
      <c r="G174" s="9" t="s">
        <v>287</v>
      </c>
      <c r="H174" s="18">
        <v>49059</v>
      </c>
      <c r="I174" s="18">
        <v>47269</v>
      </c>
      <c r="J174" s="9"/>
      <c r="K174" s="9"/>
      <c r="L174" s="9" t="s">
        <v>288</v>
      </c>
    </row>
    <row r="175" spans="1:12" ht="51" x14ac:dyDescent="0.25">
      <c r="A175" s="9">
        <v>173</v>
      </c>
      <c r="B175" s="9" t="s">
        <v>283</v>
      </c>
      <c r="C175" s="9" t="s">
        <v>738</v>
      </c>
      <c r="D175" s="9" t="s">
        <v>736</v>
      </c>
      <c r="E175" s="9" t="s">
        <v>41</v>
      </c>
      <c r="F175" s="9" t="s">
        <v>739</v>
      </c>
      <c r="G175" s="9" t="s">
        <v>287</v>
      </c>
      <c r="H175" s="18">
        <v>49059</v>
      </c>
      <c r="I175" s="18">
        <v>47269</v>
      </c>
      <c r="J175" s="9"/>
      <c r="K175" s="9"/>
      <c r="L175" s="9" t="s">
        <v>288</v>
      </c>
    </row>
    <row r="176" spans="1:12" ht="51" x14ac:dyDescent="0.25">
      <c r="A176" s="9">
        <v>174</v>
      </c>
      <c r="B176" s="9" t="s">
        <v>283</v>
      </c>
      <c r="C176" s="9" t="s">
        <v>740</v>
      </c>
      <c r="D176" s="9" t="s">
        <v>736</v>
      </c>
      <c r="E176" s="9" t="s">
        <v>41</v>
      </c>
      <c r="F176" s="9" t="s">
        <v>741</v>
      </c>
      <c r="G176" s="9" t="s">
        <v>287</v>
      </c>
      <c r="H176" s="18">
        <v>49059</v>
      </c>
      <c r="I176" s="18">
        <v>47269</v>
      </c>
      <c r="J176" s="9"/>
      <c r="K176" s="9"/>
      <c r="L176" s="9" t="s">
        <v>288</v>
      </c>
    </row>
    <row r="177" spans="1:12" ht="51" x14ac:dyDescent="0.25">
      <c r="A177" s="9">
        <v>175</v>
      </c>
      <c r="B177" s="9" t="s">
        <v>283</v>
      </c>
      <c r="C177" s="9" t="s">
        <v>742</v>
      </c>
      <c r="D177" s="9" t="s">
        <v>736</v>
      </c>
      <c r="E177" s="9" t="s">
        <v>41</v>
      </c>
      <c r="F177" s="9" t="s">
        <v>743</v>
      </c>
      <c r="G177" s="9" t="s">
        <v>287</v>
      </c>
      <c r="H177" s="18">
        <v>49059</v>
      </c>
      <c r="I177" s="18">
        <v>47269</v>
      </c>
      <c r="J177" s="9"/>
      <c r="K177" s="9"/>
      <c r="L177" s="9" t="s">
        <v>288</v>
      </c>
    </row>
    <row r="178" spans="1:12" ht="51" x14ac:dyDescent="0.25">
      <c r="A178" s="9">
        <v>176</v>
      </c>
      <c r="B178" s="9" t="s">
        <v>283</v>
      </c>
      <c r="C178" s="9" t="s">
        <v>744</v>
      </c>
      <c r="D178" s="9" t="s">
        <v>736</v>
      </c>
      <c r="E178" s="9" t="s">
        <v>41</v>
      </c>
      <c r="F178" s="9" t="s">
        <v>745</v>
      </c>
      <c r="G178" s="9" t="s">
        <v>287</v>
      </c>
      <c r="H178" s="18">
        <v>49059</v>
      </c>
      <c r="I178" s="18">
        <v>47269</v>
      </c>
      <c r="J178" s="9"/>
      <c r="K178" s="9"/>
      <c r="L178" s="9" t="s">
        <v>288</v>
      </c>
    </row>
    <row r="179" spans="1:12" ht="25.5" x14ac:dyDescent="0.25">
      <c r="A179" s="9">
        <v>177</v>
      </c>
      <c r="B179" s="9" t="s">
        <v>283</v>
      </c>
      <c r="C179" s="9" t="s">
        <v>746</v>
      </c>
      <c r="D179" s="9" t="s">
        <v>747</v>
      </c>
      <c r="E179" s="9" t="s">
        <v>41</v>
      </c>
      <c r="F179" s="9" t="s">
        <v>748</v>
      </c>
      <c r="G179" s="9" t="s">
        <v>287</v>
      </c>
      <c r="H179" s="18">
        <v>49059</v>
      </c>
      <c r="I179" s="18">
        <v>47269</v>
      </c>
      <c r="J179" s="9"/>
      <c r="K179" s="9"/>
      <c r="L179" s="9" t="s">
        <v>288</v>
      </c>
    </row>
    <row r="180" spans="1:12" ht="38.25" x14ac:dyDescent="0.25">
      <c r="A180" s="9">
        <v>178</v>
      </c>
      <c r="B180" s="9" t="s">
        <v>283</v>
      </c>
      <c r="C180" s="9" t="s">
        <v>749</v>
      </c>
      <c r="D180" s="9" t="s">
        <v>750</v>
      </c>
      <c r="E180" s="9" t="s">
        <v>41</v>
      </c>
      <c r="F180" s="9" t="s">
        <v>751</v>
      </c>
      <c r="G180" s="9" t="s">
        <v>287</v>
      </c>
      <c r="H180" s="18">
        <v>49059</v>
      </c>
      <c r="I180" s="18">
        <v>47269</v>
      </c>
      <c r="J180" s="9"/>
      <c r="K180" s="9"/>
      <c r="L180" s="9" t="s">
        <v>288</v>
      </c>
    </row>
    <row r="181" spans="1:12" ht="38.25" x14ac:dyDescent="0.25">
      <c r="A181" s="9">
        <v>179</v>
      </c>
      <c r="B181" s="9" t="s">
        <v>283</v>
      </c>
      <c r="C181" s="9" t="s">
        <v>752</v>
      </c>
      <c r="D181" s="9" t="s">
        <v>750</v>
      </c>
      <c r="E181" s="9" t="s">
        <v>41</v>
      </c>
      <c r="F181" s="9" t="s">
        <v>753</v>
      </c>
      <c r="G181" s="9" t="s">
        <v>287</v>
      </c>
      <c r="H181" s="18">
        <v>49059</v>
      </c>
      <c r="I181" s="18">
        <v>47269</v>
      </c>
      <c r="J181" s="9"/>
      <c r="K181" s="9"/>
      <c r="L181" s="9" t="s">
        <v>288</v>
      </c>
    </row>
    <row r="182" spans="1:12" ht="51" x14ac:dyDescent="0.25">
      <c r="A182" s="9">
        <v>180</v>
      </c>
      <c r="B182" s="9" t="s">
        <v>283</v>
      </c>
      <c r="C182" s="9" t="s">
        <v>754</v>
      </c>
      <c r="D182" s="9" t="s">
        <v>755</v>
      </c>
      <c r="E182" s="9" t="s">
        <v>41</v>
      </c>
      <c r="F182" s="9" t="s">
        <v>756</v>
      </c>
      <c r="G182" s="9" t="s">
        <v>287</v>
      </c>
      <c r="H182" s="18">
        <v>49059</v>
      </c>
      <c r="I182" s="18">
        <v>47269</v>
      </c>
      <c r="J182" s="9"/>
      <c r="K182" s="9"/>
      <c r="L182" s="9" t="s">
        <v>288</v>
      </c>
    </row>
    <row r="183" spans="1:12" ht="38.25" x14ac:dyDescent="0.25">
      <c r="A183" s="9">
        <v>181</v>
      </c>
      <c r="B183" s="9" t="s">
        <v>283</v>
      </c>
      <c r="C183" s="9" t="s">
        <v>757</v>
      </c>
      <c r="D183" s="9" t="s">
        <v>758</v>
      </c>
      <c r="E183" s="9" t="s">
        <v>41</v>
      </c>
      <c r="F183" s="9" t="s">
        <v>759</v>
      </c>
      <c r="G183" s="9" t="s">
        <v>287</v>
      </c>
      <c r="H183" s="18">
        <v>49059</v>
      </c>
      <c r="I183" s="18">
        <v>47269</v>
      </c>
      <c r="J183" s="9"/>
      <c r="K183" s="9"/>
      <c r="L183" s="9" t="s">
        <v>288</v>
      </c>
    </row>
    <row r="184" spans="1:12" ht="38.25" x14ac:dyDescent="0.25">
      <c r="A184" s="9">
        <v>182</v>
      </c>
      <c r="B184" s="9" t="s">
        <v>283</v>
      </c>
      <c r="C184" s="9" t="s">
        <v>760</v>
      </c>
      <c r="D184" s="9" t="s">
        <v>761</v>
      </c>
      <c r="E184" s="9" t="s">
        <v>41</v>
      </c>
      <c r="F184" s="9" t="s">
        <v>762</v>
      </c>
      <c r="G184" s="9" t="s">
        <v>287</v>
      </c>
      <c r="H184" s="18">
        <v>49059</v>
      </c>
      <c r="I184" s="18">
        <v>47269</v>
      </c>
      <c r="J184" s="9"/>
      <c r="K184" s="9"/>
      <c r="L184" s="9" t="s">
        <v>288</v>
      </c>
    </row>
    <row r="185" spans="1:12" ht="38.25" x14ac:dyDescent="0.25">
      <c r="A185" s="9">
        <v>183</v>
      </c>
      <c r="B185" s="9" t="s">
        <v>283</v>
      </c>
      <c r="C185" s="9" t="s">
        <v>763</v>
      </c>
      <c r="D185" s="9" t="s">
        <v>761</v>
      </c>
      <c r="E185" s="9" t="s">
        <v>41</v>
      </c>
      <c r="F185" s="9" t="s">
        <v>764</v>
      </c>
      <c r="G185" s="9" t="s">
        <v>287</v>
      </c>
      <c r="H185" s="18">
        <v>49059</v>
      </c>
      <c r="I185" s="18">
        <v>47269</v>
      </c>
      <c r="J185" s="9"/>
      <c r="K185" s="9"/>
      <c r="L185" s="9" t="s">
        <v>288</v>
      </c>
    </row>
    <row r="186" spans="1:12" ht="63.75" x14ac:dyDescent="0.25">
      <c r="A186" s="9">
        <v>184</v>
      </c>
      <c r="B186" s="9" t="s">
        <v>283</v>
      </c>
      <c r="C186" s="9" t="s">
        <v>765</v>
      </c>
      <c r="D186" s="9" t="s">
        <v>766</v>
      </c>
      <c r="E186" s="9" t="s">
        <v>41</v>
      </c>
      <c r="F186" s="9" t="s">
        <v>767</v>
      </c>
      <c r="G186" s="9" t="s">
        <v>287</v>
      </c>
      <c r="H186" s="18">
        <v>49059</v>
      </c>
      <c r="I186" s="18">
        <v>47269</v>
      </c>
      <c r="J186" s="9"/>
      <c r="K186" s="9"/>
      <c r="L186" s="9" t="s">
        <v>288</v>
      </c>
    </row>
    <row r="187" spans="1:12" ht="51" x14ac:dyDescent="0.25">
      <c r="A187" s="9">
        <v>185</v>
      </c>
      <c r="B187" s="9" t="s">
        <v>283</v>
      </c>
      <c r="C187" s="9" t="s">
        <v>768</v>
      </c>
      <c r="D187" s="9" t="s">
        <v>769</v>
      </c>
      <c r="E187" s="9" t="s">
        <v>41</v>
      </c>
      <c r="F187" s="9" t="s">
        <v>770</v>
      </c>
      <c r="G187" s="9" t="s">
        <v>287</v>
      </c>
      <c r="H187" s="18">
        <v>49059</v>
      </c>
      <c r="I187" s="18">
        <v>47269</v>
      </c>
      <c r="J187" s="9"/>
      <c r="K187" s="9"/>
      <c r="L187" s="9" t="s">
        <v>288</v>
      </c>
    </row>
    <row r="188" spans="1:12" ht="51" x14ac:dyDescent="0.25">
      <c r="A188" s="9">
        <v>186</v>
      </c>
      <c r="B188" s="9" t="s">
        <v>283</v>
      </c>
      <c r="C188" s="9" t="s">
        <v>771</v>
      </c>
      <c r="D188" s="9" t="s">
        <v>772</v>
      </c>
      <c r="E188" s="9" t="s">
        <v>41</v>
      </c>
      <c r="F188" s="9" t="s">
        <v>773</v>
      </c>
      <c r="G188" s="9" t="s">
        <v>287</v>
      </c>
      <c r="H188" s="18">
        <v>49059</v>
      </c>
      <c r="I188" s="18">
        <v>47269</v>
      </c>
      <c r="J188" s="9"/>
      <c r="K188" s="9"/>
      <c r="L188" s="9" t="s">
        <v>288</v>
      </c>
    </row>
    <row r="189" spans="1:12" ht="38.25" x14ac:dyDescent="0.25">
      <c r="A189" s="9">
        <v>187</v>
      </c>
      <c r="B189" s="9" t="s">
        <v>283</v>
      </c>
      <c r="C189" s="9" t="s">
        <v>774</v>
      </c>
      <c r="D189" s="9" t="s">
        <v>775</v>
      </c>
      <c r="E189" s="9" t="s">
        <v>41</v>
      </c>
      <c r="F189" s="9" t="s">
        <v>776</v>
      </c>
      <c r="G189" s="9" t="s">
        <v>287</v>
      </c>
      <c r="H189" s="18">
        <v>49059</v>
      </c>
      <c r="I189" s="18">
        <v>47269</v>
      </c>
      <c r="J189" s="9" t="s">
        <v>777</v>
      </c>
      <c r="K189" s="9"/>
      <c r="L189" s="9" t="s">
        <v>288</v>
      </c>
    </row>
    <row r="190" spans="1:12" ht="38.25" x14ac:dyDescent="0.25">
      <c r="A190" s="9">
        <v>188</v>
      </c>
      <c r="B190" s="9" t="s">
        <v>283</v>
      </c>
      <c r="C190" s="9" t="s">
        <v>778</v>
      </c>
      <c r="D190" s="9" t="s">
        <v>775</v>
      </c>
      <c r="E190" s="9" t="s">
        <v>41</v>
      </c>
      <c r="F190" s="9" t="s">
        <v>779</v>
      </c>
      <c r="G190" s="9" t="s">
        <v>287</v>
      </c>
      <c r="H190" s="18">
        <v>49059</v>
      </c>
      <c r="I190" s="18">
        <v>47269</v>
      </c>
      <c r="J190" s="9"/>
      <c r="K190" s="9"/>
      <c r="L190" s="9" t="s">
        <v>288</v>
      </c>
    </row>
    <row r="191" spans="1:12" ht="51" x14ac:dyDescent="0.25">
      <c r="A191" s="9">
        <v>189</v>
      </c>
      <c r="B191" s="9" t="s">
        <v>283</v>
      </c>
      <c r="C191" s="9" t="s">
        <v>780</v>
      </c>
      <c r="D191" s="9" t="s">
        <v>781</v>
      </c>
      <c r="E191" s="9" t="s">
        <v>41</v>
      </c>
      <c r="F191" s="9" t="s">
        <v>782</v>
      </c>
      <c r="G191" s="9" t="s">
        <v>287</v>
      </c>
      <c r="H191" s="18">
        <v>49059</v>
      </c>
      <c r="I191" s="18">
        <v>47269</v>
      </c>
      <c r="J191" s="9"/>
      <c r="K191" s="9"/>
      <c r="L191" s="9" t="s">
        <v>288</v>
      </c>
    </row>
    <row r="192" spans="1:12" ht="51" x14ac:dyDescent="0.25">
      <c r="A192" s="9">
        <v>190</v>
      </c>
      <c r="B192" s="9" t="s">
        <v>283</v>
      </c>
      <c r="C192" s="9" t="s">
        <v>783</v>
      </c>
      <c r="D192" s="9" t="s">
        <v>784</v>
      </c>
      <c r="E192" s="9" t="s">
        <v>41</v>
      </c>
      <c r="F192" s="9" t="s">
        <v>785</v>
      </c>
      <c r="G192" s="9" t="s">
        <v>287</v>
      </c>
      <c r="H192" s="18">
        <v>49059</v>
      </c>
      <c r="I192" s="18">
        <v>47269</v>
      </c>
      <c r="J192" s="9"/>
      <c r="K192" s="9"/>
      <c r="L192" s="9" t="s">
        <v>288</v>
      </c>
    </row>
    <row r="193" spans="1:12" ht="51" x14ac:dyDescent="0.25">
      <c r="A193" s="9">
        <v>191</v>
      </c>
      <c r="B193" s="9" t="s">
        <v>283</v>
      </c>
      <c r="C193" s="9" t="s">
        <v>786</v>
      </c>
      <c r="D193" s="9" t="s">
        <v>784</v>
      </c>
      <c r="E193" s="9" t="s">
        <v>41</v>
      </c>
      <c r="F193" s="9" t="s">
        <v>787</v>
      </c>
      <c r="G193" s="9" t="s">
        <v>287</v>
      </c>
      <c r="H193" s="18">
        <v>49059</v>
      </c>
      <c r="I193" s="18">
        <v>47269</v>
      </c>
      <c r="J193" s="9"/>
      <c r="K193" s="9"/>
      <c r="L193" s="9" t="s">
        <v>288</v>
      </c>
    </row>
    <row r="194" spans="1:12" ht="51" x14ac:dyDescent="0.25">
      <c r="A194" s="9">
        <v>192</v>
      </c>
      <c r="B194" s="9" t="s">
        <v>283</v>
      </c>
      <c r="C194" s="9" t="s">
        <v>788</v>
      </c>
      <c r="D194" s="9" t="s">
        <v>784</v>
      </c>
      <c r="E194" s="9" t="s">
        <v>41</v>
      </c>
      <c r="F194" s="9" t="s">
        <v>789</v>
      </c>
      <c r="G194" s="9" t="s">
        <v>287</v>
      </c>
      <c r="H194" s="18">
        <v>49059</v>
      </c>
      <c r="I194" s="18">
        <v>47269</v>
      </c>
      <c r="J194" s="9"/>
      <c r="K194" s="9"/>
      <c r="L194" s="9" t="s">
        <v>288</v>
      </c>
    </row>
    <row r="195" spans="1:12" ht="38.25" x14ac:dyDescent="0.25">
      <c r="A195" s="9">
        <v>193</v>
      </c>
      <c r="B195" s="9" t="s">
        <v>283</v>
      </c>
      <c r="C195" s="9" t="s">
        <v>790</v>
      </c>
      <c r="D195" s="9" t="s">
        <v>784</v>
      </c>
      <c r="E195" s="9" t="s">
        <v>41</v>
      </c>
      <c r="F195" s="9" t="s">
        <v>791</v>
      </c>
      <c r="G195" s="9" t="s">
        <v>287</v>
      </c>
      <c r="H195" s="18">
        <v>49059</v>
      </c>
      <c r="I195" s="18">
        <v>47269</v>
      </c>
      <c r="J195" s="9"/>
      <c r="K195" s="9"/>
      <c r="L195" s="9" t="s">
        <v>288</v>
      </c>
    </row>
    <row r="196" spans="1:12" ht="38.25" x14ac:dyDescent="0.25">
      <c r="A196" s="9">
        <v>194</v>
      </c>
      <c r="B196" s="9" t="s">
        <v>283</v>
      </c>
      <c r="C196" s="9" t="s">
        <v>792</v>
      </c>
      <c r="D196" s="9" t="s">
        <v>793</v>
      </c>
      <c r="E196" s="9" t="s">
        <v>41</v>
      </c>
      <c r="F196" s="9" t="s">
        <v>794</v>
      </c>
      <c r="G196" s="9" t="s">
        <v>287</v>
      </c>
      <c r="H196" s="18">
        <v>49059</v>
      </c>
      <c r="I196" s="18">
        <v>47269</v>
      </c>
      <c r="J196" s="9"/>
      <c r="K196" s="9"/>
      <c r="L196" s="9" t="s">
        <v>288</v>
      </c>
    </row>
    <row r="197" spans="1:12" ht="25.5" x14ac:dyDescent="0.25">
      <c r="A197" s="9">
        <v>195</v>
      </c>
      <c r="B197" s="9" t="s">
        <v>283</v>
      </c>
      <c r="C197" s="9" t="s">
        <v>795</v>
      </c>
      <c r="D197" s="9" t="s">
        <v>796</v>
      </c>
      <c r="E197" s="9" t="s">
        <v>41</v>
      </c>
      <c r="F197" s="9" t="s">
        <v>797</v>
      </c>
      <c r="G197" s="9" t="s">
        <v>287</v>
      </c>
      <c r="H197" s="18">
        <v>49059</v>
      </c>
      <c r="I197" s="18">
        <v>47269</v>
      </c>
      <c r="J197" s="9"/>
      <c r="K197" s="9"/>
      <c r="L197" s="9" t="s">
        <v>288</v>
      </c>
    </row>
    <row r="198" spans="1:12" ht="51" x14ac:dyDescent="0.25">
      <c r="A198" s="9">
        <v>196</v>
      </c>
      <c r="B198" s="9" t="s">
        <v>283</v>
      </c>
      <c r="C198" s="9" t="s">
        <v>798</v>
      </c>
      <c r="D198" s="9" t="s">
        <v>799</v>
      </c>
      <c r="E198" s="9" t="s">
        <v>41</v>
      </c>
      <c r="F198" s="9" t="s">
        <v>800</v>
      </c>
      <c r="G198" s="9" t="s">
        <v>287</v>
      </c>
      <c r="H198" s="18">
        <v>49059</v>
      </c>
      <c r="I198" s="18">
        <v>47269</v>
      </c>
      <c r="J198" s="9"/>
      <c r="K198" s="9"/>
      <c r="L198" s="9" t="s">
        <v>288</v>
      </c>
    </row>
    <row r="199" spans="1:12" ht="153" x14ac:dyDescent="0.25">
      <c r="A199" s="9">
        <v>197</v>
      </c>
      <c r="B199" s="9" t="s">
        <v>283</v>
      </c>
      <c r="C199" s="9" t="s">
        <v>801</v>
      </c>
      <c r="D199" s="9" t="s">
        <v>802</v>
      </c>
      <c r="E199" s="9" t="s">
        <v>41</v>
      </c>
      <c r="F199" s="9" t="s">
        <v>803</v>
      </c>
      <c r="G199" s="9" t="s">
        <v>287</v>
      </c>
      <c r="H199" s="18">
        <v>49059</v>
      </c>
      <c r="I199" s="18">
        <v>47269</v>
      </c>
      <c r="J199" s="9" t="s">
        <v>804</v>
      </c>
      <c r="K199" s="9"/>
      <c r="L199" s="9" t="s">
        <v>288</v>
      </c>
    </row>
    <row r="200" spans="1:12" ht="38.25" x14ac:dyDescent="0.25">
      <c r="A200" s="9">
        <v>198</v>
      </c>
      <c r="B200" s="9" t="s">
        <v>283</v>
      </c>
      <c r="C200" s="9" t="s">
        <v>805</v>
      </c>
      <c r="D200" s="9" t="s">
        <v>802</v>
      </c>
      <c r="E200" s="9" t="s">
        <v>41</v>
      </c>
      <c r="F200" s="9" t="s">
        <v>806</v>
      </c>
      <c r="G200" s="9" t="s">
        <v>287</v>
      </c>
      <c r="H200" s="18">
        <v>49059</v>
      </c>
      <c r="I200" s="18">
        <v>47269</v>
      </c>
      <c r="J200" s="9"/>
      <c r="K200" s="9"/>
      <c r="L200" s="9" t="s">
        <v>288</v>
      </c>
    </row>
    <row r="201" spans="1:12" ht="51" x14ac:dyDescent="0.25">
      <c r="A201" s="9">
        <v>199</v>
      </c>
      <c r="B201" s="9" t="s">
        <v>283</v>
      </c>
      <c r="C201" s="9" t="s">
        <v>807</v>
      </c>
      <c r="D201" s="9" t="s">
        <v>808</v>
      </c>
      <c r="E201" s="9" t="s">
        <v>41</v>
      </c>
      <c r="F201" s="9" t="s">
        <v>809</v>
      </c>
      <c r="G201" s="9" t="s">
        <v>287</v>
      </c>
      <c r="H201" s="18">
        <v>49059</v>
      </c>
      <c r="I201" s="18">
        <v>47269</v>
      </c>
      <c r="J201" s="9"/>
      <c r="K201" s="9"/>
      <c r="L201" s="9" t="s">
        <v>288</v>
      </c>
    </row>
    <row r="202" spans="1:12" ht="25.5" x14ac:dyDescent="0.25">
      <c r="A202" s="9">
        <v>200</v>
      </c>
      <c r="B202" s="9" t="s">
        <v>283</v>
      </c>
      <c r="C202" s="9" t="s">
        <v>810</v>
      </c>
      <c r="D202" s="9" t="s">
        <v>811</v>
      </c>
      <c r="E202" s="9" t="s">
        <v>41</v>
      </c>
      <c r="F202" s="9" t="s">
        <v>812</v>
      </c>
      <c r="G202" s="9" t="s">
        <v>287</v>
      </c>
      <c r="H202" s="18">
        <v>49059</v>
      </c>
      <c r="I202" s="18">
        <v>47269</v>
      </c>
      <c r="J202" s="9"/>
      <c r="K202" s="9"/>
      <c r="L202" s="9" t="s">
        <v>288</v>
      </c>
    </row>
    <row r="203" spans="1:12" ht="25.5" x14ac:dyDescent="0.25">
      <c r="A203" s="9">
        <v>201</v>
      </c>
      <c r="B203" s="9" t="s">
        <v>283</v>
      </c>
      <c r="C203" s="9" t="s">
        <v>813</v>
      </c>
      <c r="D203" s="9" t="s">
        <v>814</v>
      </c>
      <c r="E203" s="9" t="s">
        <v>41</v>
      </c>
      <c r="F203" s="9" t="s">
        <v>815</v>
      </c>
      <c r="G203" s="9" t="s">
        <v>287</v>
      </c>
      <c r="H203" s="18">
        <v>49059</v>
      </c>
      <c r="I203" s="18">
        <v>47269</v>
      </c>
      <c r="J203" s="9"/>
      <c r="K203" s="9"/>
      <c r="L203" s="9" t="s">
        <v>288</v>
      </c>
    </row>
    <row r="204" spans="1:12" ht="51" x14ac:dyDescent="0.25">
      <c r="A204" s="9">
        <v>202</v>
      </c>
      <c r="B204" s="9" t="s">
        <v>283</v>
      </c>
      <c r="C204" s="9" t="s">
        <v>816</v>
      </c>
      <c r="D204" s="9" t="s">
        <v>814</v>
      </c>
      <c r="E204" s="9" t="s">
        <v>41</v>
      </c>
      <c r="F204" s="9" t="s">
        <v>817</v>
      </c>
      <c r="G204" s="9" t="s">
        <v>287</v>
      </c>
      <c r="H204" s="18">
        <v>49059</v>
      </c>
      <c r="I204" s="18">
        <v>47269</v>
      </c>
      <c r="J204" s="9"/>
      <c r="K204" s="9"/>
      <c r="L204" s="9" t="s">
        <v>288</v>
      </c>
    </row>
    <row r="205" spans="1:12" ht="51" x14ac:dyDescent="0.25">
      <c r="A205" s="9">
        <v>203</v>
      </c>
      <c r="B205" s="9" t="s">
        <v>283</v>
      </c>
      <c r="C205" s="9" t="s">
        <v>818</v>
      </c>
      <c r="D205" s="9" t="s">
        <v>819</v>
      </c>
      <c r="E205" s="9" t="s">
        <v>41</v>
      </c>
      <c r="F205" s="9" t="s">
        <v>820</v>
      </c>
      <c r="G205" s="9" t="s">
        <v>287</v>
      </c>
      <c r="H205" s="18">
        <v>49059</v>
      </c>
      <c r="I205" s="18">
        <v>47269</v>
      </c>
      <c r="J205" s="9"/>
      <c r="K205" s="9"/>
      <c r="L205" s="9" t="s">
        <v>288</v>
      </c>
    </row>
    <row r="206" spans="1:12" ht="51" x14ac:dyDescent="0.25">
      <c r="A206" s="9">
        <v>204</v>
      </c>
      <c r="B206" s="9" t="s">
        <v>283</v>
      </c>
      <c r="C206" s="9" t="s">
        <v>821</v>
      </c>
      <c r="D206" s="9" t="s">
        <v>822</v>
      </c>
      <c r="E206" s="9" t="s">
        <v>41</v>
      </c>
      <c r="F206" s="9" t="s">
        <v>823</v>
      </c>
      <c r="G206" s="9" t="s">
        <v>287</v>
      </c>
      <c r="H206" s="18">
        <v>49059</v>
      </c>
      <c r="I206" s="18">
        <v>47269</v>
      </c>
      <c r="J206" s="9"/>
      <c r="K206" s="9"/>
      <c r="L206" s="9" t="s">
        <v>288</v>
      </c>
    </row>
    <row r="207" spans="1:12" ht="38.25" x14ac:dyDescent="0.25">
      <c r="A207" s="9">
        <v>205</v>
      </c>
      <c r="B207" s="9" t="s">
        <v>283</v>
      </c>
      <c r="C207" s="9" t="s">
        <v>824</v>
      </c>
      <c r="D207" s="9" t="s">
        <v>822</v>
      </c>
      <c r="E207" s="9" t="s">
        <v>41</v>
      </c>
      <c r="F207" s="9" t="s">
        <v>825</v>
      </c>
      <c r="G207" s="9" t="s">
        <v>287</v>
      </c>
      <c r="H207" s="18">
        <v>49059</v>
      </c>
      <c r="I207" s="18">
        <v>47269</v>
      </c>
      <c r="J207" s="9"/>
      <c r="K207" s="9"/>
      <c r="L207" s="9" t="s">
        <v>288</v>
      </c>
    </row>
    <row r="208" spans="1:12" ht="51" x14ac:dyDescent="0.25">
      <c r="A208" s="9">
        <v>206</v>
      </c>
      <c r="B208" s="9" t="s">
        <v>283</v>
      </c>
      <c r="C208" s="9" t="s">
        <v>826</v>
      </c>
      <c r="D208" s="9" t="s">
        <v>822</v>
      </c>
      <c r="E208" s="9" t="s">
        <v>41</v>
      </c>
      <c r="F208" s="9" t="s">
        <v>827</v>
      </c>
      <c r="G208" s="9" t="s">
        <v>287</v>
      </c>
      <c r="H208" s="18">
        <v>49059</v>
      </c>
      <c r="I208" s="18">
        <v>47269</v>
      </c>
      <c r="J208" s="9"/>
      <c r="K208" s="9"/>
      <c r="L208" s="9" t="s">
        <v>288</v>
      </c>
    </row>
    <row r="209" spans="1:12" ht="38.25" x14ac:dyDescent="0.25">
      <c r="A209" s="9">
        <v>207</v>
      </c>
      <c r="B209" s="9" t="s">
        <v>283</v>
      </c>
      <c r="C209" s="9" t="s">
        <v>828</v>
      </c>
      <c r="D209" s="9" t="s">
        <v>829</v>
      </c>
      <c r="E209" s="9" t="s">
        <v>41</v>
      </c>
      <c r="F209" s="9" t="s">
        <v>830</v>
      </c>
      <c r="G209" s="9" t="s">
        <v>287</v>
      </c>
      <c r="H209" s="18">
        <v>49059</v>
      </c>
      <c r="I209" s="18">
        <v>47269</v>
      </c>
      <c r="J209" s="9"/>
      <c r="K209" s="9"/>
      <c r="L209" s="9" t="s">
        <v>288</v>
      </c>
    </row>
    <row r="210" spans="1:12" ht="51" x14ac:dyDescent="0.25">
      <c r="A210" s="9">
        <v>208</v>
      </c>
      <c r="B210" s="9" t="s">
        <v>283</v>
      </c>
      <c r="C210" s="9" t="s">
        <v>831</v>
      </c>
      <c r="D210" s="9" t="s">
        <v>829</v>
      </c>
      <c r="E210" s="9" t="s">
        <v>41</v>
      </c>
      <c r="F210" s="9" t="s">
        <v>832</v>
      </c>
      <c r="G210" s="9" t="s">
        <v>287</v>
      </c>
      <c r="H210" s="18">
        <v>49059</v>
      </c>
      <c r="I210" s="18">
        <v>47269</v>
      </c>
      <c r="J210" s="9"/>
      <c r="K210" s="9"/>
      <c r="L210" s="9" t="s">
        <v>288</v>
      </c>
    </row>
    <row r="211" spans="1:12" ht="51" x14ac:dyDescent="0.25">
      <c r="A211" s="9">
        <v>209</v>
      </c>
      <c r="B211" s="9" t="s">
        <v>283</v>
      </c>
      <c r="C211" s="9" t="s">
        <v>833</v>
      </c>
      <c r="D211" s="9" t="s">
        <v>829</v>
      </c>
      <c r="E211" s="9" t="s">
        <v>41</v>
      </c>
      <c r="F211" s="9" t="s">
        <v>834</v>
      </c>
      <c r="G211" s="9" t="s">
        <v>287</v>
      </c>
      <c r="H211" s="18">
        <v>49059</v>
      </c>
      <c r="I211" s="18">
        <v>47269</v>
      </c>
      <c r="J211" s="9"/>
      <c r="K211" s="9"/>
      <c r="L211" s="9" t="s">
        <v>288</v>
      </c>
    </row>
    <row r="212" spans="1:12" ht="51" x14ac:dyDescent="0.25">
      <c r="A212" s="9">
        <v>210</v>
      </c>
      <c r="B212" s="9" t="s">
        <v>283</v>
      </c>
      <c r="C212" s="9" t="s">
        <v>835</v>
      </c>
      <c r="D212" s="9" t="s">
        <v>829</v>
      </c>
      <c r="E212" s="9" t="s">
        <v>41</v>
      </c>
      <c r="F212" s="9" t="s">
        <v>836</v>
      </c>
      <c r="G212" s="9" t="s">
        <v>287</v>
      </c>
      <c r="H212" s="18">
        <v>49059</v>
      </c>
      <c r="I212" s="18">
        <v>47269</v>
      </c>
      <c r="J212" s="9"/>
      <c r="K212" s="9"/>
      <c r="L212" s="9" t="s">
        <v>288</v>
      </c>
    </row>
    <row r="213" spans="1:12" ht="51" x14ac:dyDescent="0.25">
      <c r="A213" s="9">
        <v>211</v>
      </c>
      <c r="B213" s="9" t="s">
        <v>283</v>
      </c>
      <c r="C213" s="9" t="s">
        <v>837</v>
      </c>
      <c r="D213" s="9" t="s">
        <v>829</v>
      </c>
      <c r="E213" s="9" t="s">
        <v>41</v>
      </c>
      <c r="F213" s="9" t="s">
        <v>838</v>
      </c>
      <c r="G213" s="9" t="s">
        <v>287</v>
      </c>
      <c r="H213" s="18">
        <v>49059</v>
      </c>
      <c r="I213" s="18">
        <v>47269</v>
      </c>
      <c r="J213" s="9"/>
      <c r="K213" s="9"/>
      <c r="L213" s="9" t="s">
        <v>288</v>
      </c>
    </row>
    <row r="214" spans="1:12" ht="38.25" x14ac:dyDescent="0.25">
      <c r="A214" s="9">
        <v>212</v>
      </c>
      <c r="B214" s="9" t="s">
        <v>283</v>
      </c>
      <c r="C214" s="9" t="s">
        <v>839</v>
      </c>
      <c r="D214" s="9" t="s">
        <v>840</v>
      </c>
      <c r="E214" s="9" t="s">
        <v>41</v>
      </c>
      <c r="F214" s="9" t="s">
        <v>841</v>
      </c>
      <c r="G214" s="9" t="s">
        <v>287</v>
      </c>
      <c r="H214" s="18">
        <v>49059</v>
      </c>
      <c r="I214" s="18">
        <v>47269</v>
      </c>
      <c r="J214" s="9"/>
      <c r="K214" s="9"/>
      <c r="L214" s="9" t="s">
        <v>288</v>
      </c>
    </row>
    <row r="215" spans="1:12" ht="38.25" x14ac:dyDescent="0.25">
      <c r="A215" s="9">
        <v>213</v>
      </c>
      <c r="B215" s="9" t="s">
        <v>283</v>
      </c>
      <c r="C215" s="9" t="s">
        <v>842</v>
      </c>
      <c r="D215" s="9" t="s">
        <v>840</v>
      </c>
      <c r="E215" s="9" t="s">
        <v>41</v>
      </c>
      <c r="F215" s="9" t="s">
        <v>843</v>
      </c>
      <c r="G215" s="9" t="s">
        <v>287</v>
      </c>
      <c r="H215" s="18">
        <v>49059</v>
      </c>
      <c r="I215" s="18">
        <v>47269</v>
      </c>
      <c r="J215" s="9"/>
      <c r="K215" s="9"/>
      <c r="L215" s="9" t="s">
        <v>288</v>
      </c>
    </row>
    <row r="216" spans="1:12" ht="38.25" x14ac:dyDescent="0.25">
      <c r="A216" s="9">
        <v>214</v>
      </c>
      <c r="B216" s="9" t="s">
        <v>283</v>
      </c>
      <c r="C216" s="9" t="s">
        <v>844</v>
      </c>
      <c r="D216" s="9" t="s">
        <v>840</v>
      </c>
      <c r="E216" s="9" t="s">
        <v>41</v>
      </c>
      <c r="F216" s="9" t="s">
        <v>845</v>
      </c>
      <c r="G216" s="9" t="s">
        <v>287</v>
      </c>
      <c r="H216" s="18">
        <v>49059</v>
      </c>
      <c r="I216" s="18">
        <v>47269</v>
      </c>
      <c r="J216" s="9"/>
      <c r="K216" s="9"/>
      <c r="L216" s="9" t="s">
        <v>288</v>
      </c>
    </row>
    <row r="217" spans="1:12" ht="38.25" x14ac:dyDescent="0.25">
      <c r="A217" s="9">
        <v>215</v>
      </c>
      <c r="B217" s="9" t="s">
        <v>283</v>
      </c>
      <c r="C217" s="9" t="s">
        <v>846</v>
      </c>
      <c r="D217" s="9" t="s">
        <v>840</v>
      </c>
      <c r="E217" s="9" t="s">
        <v>41</v>
      </c>
      <c r="F217" s="9" t="s">
        <v>847</v>
      </c>
      <c r="G217" s="9" t="s">
        <v>287</v>
      </c>
      <c r="H217" s="18">
        <v>49059</v>
      </c>
      <c r="I217" s="18">
        <v>47269</v>
      </c>
      <c r="J217" s="9"/>
      <c r="K217" s="9"/>
      <c r="L217" s="9" t="s">
        <v>288</v>
      </c>
    </row>
    <row r="218" spans="1:12" ht="38.25" x14ac:dyDescent="0.25">
      <c r="A218" s="9">
        <v>216</v>
      </c>
      <c r="B218" s="9" t="s">
        <v>283</v>
      </c>
      <c r="C218" s="9" t="s">
        <v>848</v>
      </c>
      <c r="D218" s="9" t="s">
        <v>840</v>
      </c>
      <c r="E218" s="9" t="s">
        <v>41</v>
      </c>
      <c r="F218" s="9" t="s">
        <v>849</v>
      </c>
      <c r="G218" s="9" t="s">
        <v>287</v>
      </c>
      <c r="H218" s="18">
        <v>49059</v>
      </c>
      <c r="I218" s="18">
        <v>47269</v>
      </c>
      <c r="J218" s="9"/>
      <c r="K218" s="9"/>
      <c r="L218" s="9" t="s">
        <v>288</v>
      </c>
    </row>
    <row r="219" spans="1:12" ht="38.25" x14ac:dyDescent="0.25">
      <c r="A219" s="9">
        <v>217</v>
      </c>
      <c r="B219" s="9" t="s">
        <v>283</v>
      </c>
      <c r="C219" s="9" t="s">
        <v>850</v>
      </c>
      <c r="D219" s="9" t="s">
        <v>840</v>
      </c>
      <c r="E219" s="9" t="s">
        <v>41</v>
      </c>
      <c r="F219" s="9" t="s">
        <v>851</v>
      </c>
      <c r="G219" s="9" t="s">
        <v>287</v>
      </c>
      <c r="H219" s="18">
        <v>49059</v>
      </c>
      <c r="I219" s="18">
        <v>47269</v>
      </c>
      <c r="J219" s="9"/>
      <c r="K219" s="9"/>
      <c r="L219" s="9" t="s">
        <v>288</v>
      </c>
    </row>
    <row r="220" spans="1:12" ht="38.25" x14ac:dyDescent="0.25">
      <c r="A220" s="9">
        <v>218</v>
      </c>
      <c r="B220" s="9" t="s">
        <v>283</v>
      </c>
      <c r="C220" s="9" t="s">
        <v>852</v>
      </c>
      <c r="D220" s="9" t="s">
        <v>840</v>
      </c>
      <c r="E220" s="9" t="s">
        <v>41</v>
      </c>
      <c r="F220" s="9" t="s">
        <v>853</v>
      </c>
      <c r="G220" s="9" t="s">
        <v>287</v>
      </c>
      <c r="H220" s="18">
        <v>49059</v>
      </c>
      <c r="I220" s="18">
        <v>47269</v>
      </c>
      <c r="J220" s="9"/>
      <c r="K220" s="9"/>
      <c r="L220" s="9" t="s">
        <v>288</v>
      </c>
    </row>
    <row r="221" spans="1:12" ht="38.25" x14ac:dyDescent="0.25">
      <c r="A221" s="9">
        <v>219</v>
      </c>
      <c r="B221" s="9" t="s">
        <v>283</v>
      </c>
      <c r="C221" s="9" t="s">
        <v>854</v>
      </c>
      <c r="D221" s="9" t="s">
        <v>840</v>
      </c>
      <c r="E221" s="9" t="s">
        <v>41</v>
      </c>
      <c r="F221" s="9" t="s">
        <v>855</v>
      </c>
      <c r="G221" s="9" t="s">
        <v>287</v>
      </c>
      <c r="H221" s="18">
        <v>49059</v>
      </c>
      <c r="I221" s="18">
        <v>47269</v>
      </c>
      <c r="J221" s="9"/>
      <c r="K221" s="9"/>
      <c r="L221" s="9" t="s">
        <v>288</v>
      </c>
    </row>
    <row r="222" spans="1:12" ht="38.25" x14ac:dyDescent="0.25">
      <c r="A222" s="9">
        <v>220</v>
      </c>
      <c r="B222" s="9" t="s">
        <v>283</v>
      </c>
      <c r="C222" s="9" t="s">
        <v>856</v>
      </c>
      <c r="D222" s="9" t="s">
        <v>857</v>
      </c>
      <c r="E222" s="9" t="s">
        <v>41</v>
      </c>
      <c r="F222" s="9" t="s">
        <v>858</v>
      </c>
      <c r="G222" s="9" t="s">
        <v>287</v>
      </c>
      <c r="H222" s="18">
        <v>49059</v>
      </c>
      <c r="I222" s="18">
        <v>47269</v>
      </c>
      <c r="J222" s="9"/>
      <c r="K222" s="9"/>
      <c r="L222" s="9" t="s">
        <v>288</v>
      </c>
    </row>
    <row r="223" spans="1:12" ht="51" x14ac:dyDescent="0.25">
      <c r="A223" s="9">
        <v>221</v>
      </c>
      <c r="B223" s="9" t="s">
        <v>283</v>
      </c>
      <c r="C223" s="9" t="s">
        <v>859</v>
      </c>
      <c r="D223" s="9" t="s">
        <v>857</v>
      </c>
      <c r="E223" s="9" t="s">
        <v>41</v>
      </c>
      <c r="F223" s="9" t="s">
        <v>860</v>
      </c>
      <c r="G223" s="9" t="s">
        <v>287</v>
      </c>
      <c r="H223" s="18">
        <v>49059</v>
      </c>
      <c r="I223" s="18">
        <v>47269</v>
      </c>
      <c r="J223" s="9"/>
      <c r="K223" s="9"/>
      <c r="L223" s="9" t="s">
        <v>288</v>
      </c>
    </row>
    <row r="224" spans="1:12" ht="51" x14ac:dyDescent="0.25">
      <c r="A224" s="9">
        <v>222</v>
      </c>
      <c r="B224" s="9" t="s">
        <v>283</v>
      </c>
      <c r="C224" s="9" t="s">
        <v>861</v>
      </c>
      <c r="D224" s="9" t="s">
        <v>862</v>
      </c>
      <c r="E224" s="9" t="s">
        <v>41</v>
      </c>
      <c r="F224" s="9" t="s">
        <v>863</v>
      </c>
      <c r="G224" s="9" t="s">
        <v>287</v>
      </c>
      <c r="H224" s="18">
        <v>49059</v>
      </c>
      <c r="I224" s="18">
        <v>47269</v>
      </c>
      <c r="J224" s="9"/>
      <c r="K224" s="9"/>
      <c r="L224" s="9" t="s">
        <v>288</v>
      </c>
    </row>
    <row r="225" spans="1:12" ht="38.25" x14ac:dyDescent="0.25">
      <c r="A225" s="9">
        <v>223</v>
      </c>
      <c r="B225" s="9" t="s">
        <v>283</v>
      </c>
      <c r="C225" s="9" t="s">
        <v>864</v>
      </c>
      <c r="D225" s="9" t="s">
        <v>865</v>
      </c>
      <c r="E225" s="9" t="s">
        <v>41</v>
      </c>
      <c r="F225" s="9" t="s">
        <v>866</v>
      </c>
      <c r="G225" s="9" t="s">
        <v>287</v>
      </c>
      <c r="H225" s="18">
        <v>49059</v>
      </c>
      <c r="I225" s="18">
        <v>47269</v>
      </c>
      <c r="J225" s="9"/>
      <c r="K225" s="9"/>
      <c r="L225" s="9" t="s">
        <v>288</v>
      </c>
    </row>
    <row r="226" spans="1:12" ht="25.5" x14ac:dyDescent="0.25">
      <c r="A226" s="9">
        <v>224</v>
      </c>
      <c r="B226" s="9" t="s">
        <v>283</v>
      </c>
      <c r="C226" s="9" t="s">
        <v>867</v>
      </c>
      <c r="D226" s="9" t="s">
        <v>868</v>
      </c>
      <c r="E226" s="9" t="s">
        <v>41</v>
      </c>
      <c r="F226" s="9" t="s">
        <v>869</v>
      </c>
      <c r="G226" s="9" t="s">
        <v>287</v>
      </c>
      <c r="H226" s="18">
        <v>49059</v>
      </c>
      <c r="I226" s="18">
        <v>47269</v>
      </c>
      <c r="J226" s="9"/>
      <c r="K226" s="9"/>
      <c r="L226" s="9" t="s">
        <v>288</v>
      </c>
    </row>
    <row r="227" spans="1:12" ht="51" x14ac:dyDescent="0.25">
      <c r="A227" s="9">
        <v>225</v>
      </c>
      <c r="B227" s="9" t="s">
        <v>283</v>
      </c>
      <c r="C227" s="9" t="s">
        <v>870</v>
      </c>
      <c r="D227" s="9" t="s">
        <v>871</v>
      </c>
      <c r="E227" s="9" t="s">
        <v>41</v>
      </c>
      <c r="F227" s="9" t="s">
        <v>872</v>
      </c>
      <c r="G227" s="9" t="s">
        <v>287</v>
      </c>
      <c r="H227" s="18">
        <v>49059</v>
      </c>
      <c r="I227" s="18">
        <v>47269</v>
      </c>
      <c r="J227" s="9"/>
      <c r="K227" s="9"/>
      <c r="L227" s="9" t="s">
        <v>288</v>
      </c>
    </row>
    <row r="228" spans="1:12" ht="51" x14ac:dyDescent="0.25">
      <c r="A228" s="9">
        <v>226</v>
      </c>
      <c r="B228" s="9" t="s">
        <v>283</v>
      </c>
      <c r="C228" s="9" t="s">
        <v>873</v>
      </c>
      <c r="D228" s="9" t="s">
        <v>871</v>
      </c>
      <c r="E228" s="9" t="s">
        <v>41</v>
      </c>
      <c r="F228" s="9" t="s">
        <v>874</v>
      </c>
      <c r="G228" s="9" t="s">
        <v>287</v>
      </c>
      <c r="H228" s="18">
        <v>49059</v>
      </c>
      <c r="I228" s="18">
        <v>47269</v>
      </c>
      <c r="J228" s="9"/>
      <c r="K228" s="9"/>
      <c r="L228" s="9" t="s">
        <v>288</v>
      </c>
    </row>
    <row r="229" spans="1:12" ht="25.5" x14ac:dyDescent="0.25">
      <c r="A229" s="9">
        <v>227</v>
      </c>
      <c r="B229" s="9" t="s">
        <v>283</v>
      </c>
      <c r="C229" s="9" t="s">
        <v>875</v>
      </c>
      <c r="D229" s="9" t="s">
        <v>876</v>
      </c>
      <c r="E229" s="9" t="s">
        <v>41</v>
      </c>
      <c r="F229" s="9" t="s">
        <v>877</v>
      </c>
      <c r="G229" s="9" t="s">
        <v>287</v>
      </c>
      <c r="H229" s="18">
        <v>49059</v>
      </c>
      <c r="I229" s="18">
        <v>47269</v>
      </c>
      <c r="J229" s="9"/>
      <c r="K229" s="9"/>
      <c r="L229" s="9" t="s">
        <v>288</v>
      </c>
    </row>
    <row r="230" spans="1:12" ht="38.25" x14ac:dyDescent="0.25">
      <c r="A230" s="9">
        <v>228</v>
      </c>
      <c r="B230" s="9" t="s">
        <v>283</v>
      </c>
      <c r="C230" s="9" t="s">
        <v>878</v>
      </c>
      <c r="D230" s="9" t="s">
        <v>879</v>
      </c>
      <c r="E230" s="9" t="s">
        <v>41</v>
      </c>
      <c r="F230" s="9" t="s">
        <v>880</v>
      </c>
      <c r="G230" s="9" t="s">
        <v>287</v>
      </c>
      <c r="H230" s="18">
        <v>49059</v>
      </c>
      <c r="I230" s="18">
        <v>47269</v>
      </c>
      <c r="J230" s="9"/>
      <c r="K230" s="9"/>
      <c r="L230" s="9" t="s">
        <v>288</v>
      </c>
    </row>
    <row r="231" spans="1:12" ht="51" x14ac:dyDescent="0.25">
      <c r="A231" s="9">
        <v>229</v>
      </c>
      <c r="B231" s="9" t="s">
        <v>283</v>
      </c>
      <c r="C231" s="9" t="s">
        <v>881</v>
      </c>
      <c r="D231" s="9" t="s">
        <v>879</v>
      </c>
      <c r="E231" s="9" t="s">
        <v>41</v>
      </c>
      <c r="F231" s="9" t="s">
        <v>882</v>
      </c>
      <c r="G231" s="9" t="s">
        <v>287</v>
      </c>
      <c r="H231" s="18">
        <v>49059</v>
      </c>
      <c r="I231" s="18">
        <v>47269</v>
      </c>
      <c r="J231" s="9"/>
      <c r="K231" s="9"/>
      <c r="L231" s="9" t="s">
        <v>288</v>
      </c>
    </row>
    <row r="232" spans="1:12" ht="51" x14ac:dyDescent="0.25">
      <c r="A232" s="9">
        <v>230</v>
      </c>
      <c r="B232" s="9" t="s">
        <v>283</v>
      </c>
      <c r="C232" s="9" t="s">
        <v>883</v>
      </c>
      <c r="D232" s="9" t="s">
        <v>884</v>
      </c>
      <c r="E232" s="9" t="s">
        <v>41</v>
      </c>
      <c r="F232" s="9" t="s">
        <v>885</v>
      </c>
      <c r="G232" s="9" t="s">
        <v>287</v>
      </c>
      <c r="H232" s="18">
        <v>49059</v>
      </c>
      <c r="I232" s="18">
        <v>47269</v>
      </c>
      <c r="J232" s="9"/>
      <c r="K232" s="9"/>
      <c r="L232" s="9" t="s">
        <v>288</v>
      </c>
    </row>
    <row r="233" spans="1:12" ht="51" x14ac:dyDescent="0.25">
      <c r="A233" s="9">
        <v>231</v>
      </c>
      <c r="B233" s="9" t="s">
        <v>283</v>
      </c>
      <c r="C233" s="9" t="s">
        <v>886</v>
      </c>
      <c r="D233" s="9" t="s">
        <v>884</v>
      </c>
      <c r="E233" s="9" t="s">
        <v>41</v>
      </c>
      <c r="F233" s="9" t="s">
        <v>887</v>
      </c>
      <c r="G233" s="9" t="s">
        <v>287</v>
      </c>
      <c r="H233" s="18">
        <v>49059</v>
      </c>
      <c r="I233" s="18">
        <v>47269</v>
      </c>
      <c r="J233" s="9"/>
      <c r="K233" s="9"/>
      <c r="L233" s="9" t="s">
        <v>288</v>
      </c>
    </row>
    <row r="234" spans="1:12" ht="38.25" x14ac:dyDescent="0.25">
      <c r="A234" s="9">
        <v>232</v>
      </c>
      <c r="B234" s="9" t="s">
        <v>283</v>
      </c>
      <c r="C234" s="9" t="s">
        <v>888</v>
      </c>
      <c r="D234" s="9" t="s">
        <v>884</v>
      </c>
      <c r="E234" s="9" t="s">
        <v>41</v>
      </c>
      <c r="F234" s="9" t="s">
        <v>889</v>
      </c>
      <c r="G234" s="9" t="s">
        <v>287</v>
      </c>
      <c r="H234" s="18">
        <v>49059</v>
      </c>
      <c r="I234" s="18">
        <v>47269</v>
      </c>
      <c r="J234" s="9"/>
      <c r="K234" s="9"/>
      <c r="L234" s="9" t="s">
        <v>288</v>
      </c>
    </row>
    <row r="235" spans="1:12" ht="51" x14ac:dyDescent="0.25">
      <c r="A235" s="9">
        <v>233</v>
      </c>
      <c r="B235" s="9" t="s">
        <v>283</v>
      </c>
      <c r="C235" s="9" t="s">
        <v>890</v>
      </c>
      <c r="D235" s="9" t="s">
        <v>891</v>
      </c>
      <c r="E235" s="9" t="s">
        <v>41</v>
      </c>
      <c r="F235" s="9" t="s">
        <v>892</v>
      </c>
      <c r="G235" s="9" t="s">
        <v>287</v>
      </c>
      <c r="H235" s="18">
        <v>49059</v>
      </c>
      <c r="I235" s="18">
        <v>47269</v>
      </c>
      <c r="J235" s="9"/>
      <c r="K235" s="9"/>
      <c r="L235" s="9" t="s">
        <v>288</v>
      </c>
    </row>
    <row r="236" spans="1:12" ht="38.25" x14ac:dyDescent="0.25">
      <c r="A236" s="9">
        <v>234</v>
      </c>
      <c r="B236" s="9" t="s">
        <v>283</v>
      </c>
      <c r="C236" s="9" t="s">
        <v>893</v>
      </c>
      <c r="D236" s="9" t="s">
        <v>894</v>
      </c>
      <c r="E236" s="9" t="s">
        <v>41</v>
      </c>
      <c r="F236" s="9" t="s">
        <v>895</v>
      </c>
      <c r="G236" s="9" t="s">
        <v>287</v>
      </c>
      <c r="H236" s="18">
        <v>49059</v>
      </c>
      <c r="I236" s="18">
        <v>47269</v>
      </c>
      <c r="J236" s="9"/>
      <c r="K236" s="9"/>
      <c r="L236" s="9" t="s">
        <v>288</v>
      </c>
    </row>
    <row r="237" spans="1:12" ht="38.25" x14ac:dyDescent="0.25">
      <c r="A237" s="9">
        <v>235</v>
      </c>
      <c r="B237" s="9" t="s">
        <v>283</v>
      </c>
      <c r="C237" s="9" t="s">
        <v>896</v>
      </c>
      <c r="D237" s="9" t="s">
        <v>894</v>
      </c>
      <c r="E237" s="9" t="s">
        <v>41</v>
      </c>
      <c r="F237" s="9" t="s">
        <v>897</v>
      </c>
      <c r="G237" s="9" t="s">
        <v>287</v>
      </c>
      <c r="H237" s="18">
        <v>49059</v>
      </c>
      <c r="I237" s="18">
        <v>47269</v>
      </c>
      <c r="J237" s="9"/>
      <c r="K237" s="9"/>
      <c r="L237" s="9" t="s">
        <v>288</v>
      </c>
    </row>
    <row r="238" spans="1:12" ht="51" x14ac:dyDescent="0.25">
      <c r="A238" s="9">
        <v>236</v>
      </c>
      <c r="B238" s="9" t="s">
        <v>283</v>
      </c>
      <c r="C238" s="9" t="s">
        <v>898</v>
      </c>
      <c r="D238" s="9" t="s">
        <v>899</v>
      </c>
      <c r="E238" s="9" t="s">
        <v>41</v>
      </c>
      <c r="F238" s="9" t="s">
        <v>900</v>
      </c>
      <c r="G238" s="9" t="s">
        <v>287</v>
      </c>
      <c r="H238" s="18">
        <v>49059</v>
      </c>
      <c r="I238" s="18">
        <v>47269</v>
      </c>
      <c r="J238" s="9"/>
      <c r="K238" s="9"/>
      <c r="L238" s="9" t="s">
        <v>288</v>
      </c>
    </row>
    <row r="239" spans="1:12" ht="51" x14ac:dyDescent="0.25">
      <c r="A239" s="9">
        <v>237</v>
      </c>
      <c r="B239" s="9" t="s">
        <v>283</v>
      </c>
      <c r="C239" s="9" t="s">
        <v>901</v>
      </c>
      <c r="D239" s="9" t="s">
        <v>902</v>
      </c>
      <c r="E239" s="9" t="s">
        <v>41</v>
      </c>
      <c r="F239" s="9" t="s">
        <v>903</v>
      </c>
      <c r="G239" s="9" t="s">
        <v>287</v>
      </c>
      <c r="H239" s="18">
        <v>49059</v>
      </c>
      <c r="I239" s="18">
        <v>47269</v>
      </c>
      <c r="J239" s="9" t="s">
        <v>904</v>
      </c>
      <c r="K239" s="9"/>
      <c r="L239" s="9" t="s">
        <v>288</v>
      </c>
    </row>
    <row r="240" spans="1:12" ht="51" x14ac:dyDescent="0.25">
      <c r="A240" s="9">
        <v>238</v>
      </c>
      <c r="B240" s="9" t="s">
        <v>283</v>
      </c>
      <c r="C240" s="9" t="s">
        <v>905</v>
      </c>
      <c r="D240" s="9" t="s">
        <v>906</v>
      </c>
      <c r="E240" s="9" t="s">
        <v>41</v>
      </c>
      <c r="F240" s="9" t="s">
        <v>907</v>
      </c>
      <c r="G240" s="9" t="s">
        <v>287</v>
      </c>
      <c r="H240" s="18">
        <v>49059</v>
      </c>
      <c r="I240" s="18">
        <v>47269</v>
      </c>
      <c r="J240" s="9"/>
      <c r="K240" s="9"/>
      <c r="L240" s="9" t="s">
        <v>288</v>
      </c>
    </row>
    <row r="241" spans="1:12" ht="51" x14ac:dyDescent="0.25">
      <c r="A241" s="9">
        <v>239</v>
      </c>
      <c r="B241" s="9" t="s">
        <v>283</v>
      </c>
      <c r="C241" s="9" t="s">
        <v>908</v>
      </c>
      <c r="D241" s="9" t="s">
        <v>906</v>
      </c>
      <c r="E241" s="9" t="s">
        <v>41</v>
      </c>
      <c r="F241" s="9" t="s">
        <v>909</v>
      </c>
      <c r="G241" s="9" t="s">
        <v>287</v>
      </c>
      <c r="H241" s="18">
        <v>49059</v>
      </c>
      <c r="I241" s="18">
        <v>47269</v>
      </c>
      <c r="J241" s="9"/>
      <c r="K241" s="9"/>
      <c r="L241" s="9" t="s">
        <v>288</v>
      </c>
    </row>
    <row r="242" spans="1:12" ht="51" x14ac:dyDescent="0.25">
      <c r="A242" s="9">
        <v>240</v>
      </c>
      <c r="B242" s="9" t="s">
        <v>283</v>
      </c>
      <c r="C242" s="9" t="s">
        <v>910</v>
      </c>
      <c r="D242" s="9" t="s">
        <v>906</v>
      </c>
      <c r="E242" s="9" t="s">
        <v>41</v>
      </c>
      <c r="F242" s="9" t="s">
        <v>911</v>
      </c>
      <c r="G242" s="9" t="s">
        <v>287</v>
      </c>
      <c r="H242" s="18">
        <v>49059</v>
      </c>
      <c r="I242" s="18">
        <v>47269</v>
      </c>
      <c r="J242" s="9"/>
      <c r="K242" s="9"/>
      <c r="L242" s="9" t="s">
        <v>288</v>
      </c>
    </row>
    <row r="243" spans="1:12" ht="51" x14ac:dyDescent="0.25">
      <c r="A243" s="9">
        <v>241</v>
      </c>
      <c r="B243" s="9" t="s">
        <v>283</v>
      </c>
      <c r="C243" s="9" t="s">
        <v>912</v>
      </c>
      <c r="D243" s="9" t="s">
        <v>906</v>
      </c>
      <c r="E243" s="9" t="s">
        <v>41</v>
      </c>
      <c r="F243" s="9" t="s">
        <v>913</v>
      </c>
      <c r="G243" s="9" t="s">
        <v>287</v>
      </c>
      <c r="H243" s="18">
        <v>49059</v>
      </c>
      <c r="I243" s="18">
        <v>47269</v>
      </c>
      <c r="J243" s="9"/>
      <c r="K243" s="9"/>
      <c r="L243" s="9" t="s">
        <v>288</v>
      </c>
    </row>
    <row r="244" spans="1:12" ht="51" x14ac:dyDescent="0.25">
      <c r="A244" s="9">
        <v>242</v>
      </c>
      <c r="B244" s="9" t="s">
        <v>283</v>
      </c>
      <c r="C244" s="9" t="s">
        <v>914</v>
      </c>
      <c r="D244" s="9" t="s">
        <v>906</v>
      </c>
      <c r="E244" s="9" t="s">
        <v>41</v>
      </c>
      <c r="F244" s="9" t="s">
        <v>915</v>
      </c>
      <c r="G244" s="9" t="s">
        <v>287</v>
      </c>
      <c r="H244" s="18">
        <v>49059</v>
      </c>
      <c r="I244" s="18">
        <v>47269</v>
      </c>
      <c r="J244" s="9"/>
      <c r="K244" s="9"/>
      <c r="L244" s="9" t="s">
        <v>288</v>
      </c>
    </row>
    <row r="245" spans="1:12" ht="51" x14ac:dyDescent="0.25">
      <c r="A245" s="9">
        <v>243</v>
      </c>
      <c r="B245" s="9" t="s">
        <v>283</v>
      </c>
      <c r="C245" s="9" t="s">
        <v>916</v>
      </c>
      <c r="D245" s="9" t="s">
        <v>906</v>
      </c>
      <c r="E245" s="9" t="s">
        <v>41</v>
      </c>
      <c r="F245" s="9" t="s">
        <v>917</v>
      </c>
      <c r="G245" s="9" t="s">
        <v>287</v>
      </c>
      <c r="H245" s="18">
        <v>49059</v>
      </c>
      <c r="I245" s="18">
        <v>47269</v>
      </c>
      <c r="J245" s="9"/>
      <c r="K245" s="9"/>
      <c r="L245" s="9" t="s">
        <v>288</v>
      </c>
    </row>
    <row r="246" spans="1:12" ht="51" x14ac:dyDescent="0.25">
      <c r="A246" s="9">
        <v>244</v>
      </c>
      <c r="B246" s="9" t="s">
        <v>283</v>
      </c>
      <c r="C246" s="9" t="s">
        <v>918</v>
      </c>
      <c r="D246" s="9" t="s">
        <v>906</v>
      </c>
      <c r="E246" s="9" t="s">
        <v>41</v>
      </c>
      <c r="F246" s="9" t="s">
        <v>919</v>
      </c>
      <c r="G246" s="9" t="s">
        <v>287</v>
      </c>
      <c r="H246" s="18">
        <v>49059</v>
      </c>
      <c r="I246" s="18">
        <v>47269</v>
      </c>
      <c r="J246" s="9"/>
      <c r="K246" s="9"/>
      <c r="L246" s="9" t="s">
        <v>288</v>
      </c>
    </row>
    <row r="247" spans="1:12" ht="51" x14ac:dyDescent="0.25">
      <c r="A247" s="9">
        <v>245</v>
      </c>
      <c r="B247" s="9" t="s">
        <v>283</v>
      </c>
      <c r="C247" s="9" t="s">
        <v>920</v>
      </c>
      <c r="D247" s="9" t="s">
        <v>906</v>
      </c>
      <c r="E247" s="9" t="s">
        <v>41</v>
      </c>
      <c r="F247" s="9" t="s">
        <v>921</v>
      </c>
      <c r="G247" s="9" t="s">
        <v>287</v>
      </c>
      <c r="H247" s="18">
        <v>49059</v>
      </c>
      <c r="I247" s="18">
        <v>47269</v>
      </c>
      <c r="J247" s="9"/>
      <c r="K247" s="9"/>
      <c r="L247" s="9" t="s">
        <v>288</v>
      </c>
    </row>
    <row r="248" spans="1:12" ht="51" x14ac:dyDescent="0.25">
      <c r="A248" s="9">
        <v>246</v>
      </c>
      <c r="B248" s="9" t="s">
        <v>283</v>
      </c>
      <c r="C248" s="9" t="s">
        <v>922</v>
      </c>
      <c r="D248" s="9" t="s">
        <v>906</v>
      </c>
      <c r="E248" s="9" t="s">
        <v>41</v>
      </c>
      <c r="F248" s="9" t="s">
        <v>923</v>
      </c>
      <c r="G248" s="9" t="s">
        <v>287</v>
      </c>
      <c r="H248" s="18">
        <v>49059</v>
      </c>
      <c r="I248" s="18">
        <v>47269</v>
      </c>
      <c r="J248" s="9"/>
      <c r="K248" s="9"/>
      <c r="L248" s="9" t="s">
        <v>288</v>
      </c>
    </row>
    <row r="249" spans="1:12" ht="51" x14ac:dyDescent="0.25">
      <c r="A249" s="9">
        <v>247</v>
      </c>
      <c r="B249" s="9" t="s">
        <v>283</v>
      </c>
      <c r="C249" s="9" t="s">
        <v>924</v>
      </c>
      <c r="D249" s="9" t="s">
        <v>906</v>
      </c>
      <c r="E249" s="9" t="s">
        <v>41</v>
      </c>
      <c r="F249" s="9" t="s">
        <v>925</v>
      </c>
      <c r="G249" s="9" t="s">
        <v>287</v>
      </c>
      <c r="H249" s="18">
        <v>49059</v>
      </c>
      <c r="I249" s="18">
        <v>47269</v>
      </c>
      <c r="J249" s="9"/>
      <c r="K249" s="9"/>
      <c r="L249" s="9" t="s">
        <v>288</v>
      </c>
    </row>
    <row r="250" spans="1:12" ht="51" x14ac:dyDescent="0.25">
      <c r="A250" s="9">
        <v>248</v>
      </c>
      <c r="B250" s="9" t="s">
        <v>283</v>
      </c>
      <c r="C250" s="9" t="s">
        <v>926</v>
      </c>
      <c r="D250" s="9" t="s">
        <v>906</v>
      </c>
      <c r="E250" s="9" t="s">
        <v>41</v>
      </c>
      <c r="F250" s="9" t="s">
        <v>927</v>
      </c>
      <c r="G250" s="9" t="s">
        <v>287</v>
      </c>
      <c r="H250" s="18">
        <v>49059</v>
      </c>
      <c r="I250" s="18">
        <v>47269</v>
      </c>
      <c r="J250" s="9"/>
      <c r="K250" s="9"/>
      <c r="L250" s="9" t="s">
        <v>288</v>
      </c>
    </row>
    <row r="251" spans="1:12" ht="51" x14ac:dyDescent="0.25">
      <c r="A251" s="9">
        <v>249</v>
      </c>
      <c r="B251" s="9" t="s">
        <v>283</v>
      </c>
      <c r="C251" s="9" t="s">
        <v>928</v>
      </c>
      <c r="D251" s="9" t="s">
        <v>906</v>
      </c>
      <c r="E251" s="9" t="s">
        <v>41</v>
      </c>
      <c r="F251" s="9" t="s">
        <v>929</v>
      </c>
      <c r="G251" s="9" t="s">
        <v>287</v>
      </c>
      <c r="H251" s="18">
        <v>49059</v>
      </c>
      <c r="I251" s="18">
        <v>47269</v>
      </c>
      <c r="J251" s="9"/>
      <c r="K251" s="9"/>
      <c r="L251" s="9" t="s">
        <v>288</v>
      </c>
    </row>
    <row r="252" spans="1:12" ht="51" x14ac:dyDescent="0.25">
      <c r="A252" s="9">
        <v>250</v>
      </c>
      <c r="B252" s="9" t="s">
        <v>283</v>
      </c>
      <c r="C252" s="9" t="s">
        <v>930</v>
      </c>
      <c r="D252" s="9" t="s">
        <v>906</v>
      </c>
      <c r="E252" s="9" t="s">
        <v>41</v>
      </c>
      <c r="F252" s="9" t="s">
        <v>931</v>
      </c>
      <c r="G252" s="9" t="s">
        <v>287</v>
      </c>
      <c r="H252" s="18">
        <v>49059</v>
      </c>
      <c r="I252" s="18">
        <v>47269</v>
      </c>
      <c r="J252" s="9"/>
      <c r="K252" s="9"/>
      <c r="L252" s="9" t="s">
        <v>288</v>
      </c>
    </row>
    <row r="253" spans="1:12" ht="51" x14ac:dyDescent="0.25">
      <c r="A253" s="9">
        <v>251</v>
      </c>
      <c r="B253" s="9" t="s">
        <v>283</v>
      </c>
      <c r="C253" s="9" t="s">
        <v>932</v>
      </c>
      <c r="D253" s="9" t="s">
        <v>906</v>
      </c>
      <c r="E253" s="9" t="s">
        <v>41</v>
      </c>
      <c r="F253" s="9" t="s">
        <v>933</v>
      </c>
      <c r="G253" s="9" t="s">
        <v>287</v>
      </c>
      <c r="H253" s="18">
        <v>49059</v>
      </c>
      <c r="I253" s="18">
        <v>47269</v>
      </c>
      <c r="J253" s="9"/>
      <c r="K253" s="9"/>
      <c r="L253" s="9" t="s">
        <v>288</v>
      </c>
    </row>
    <row r="254" spans="1:12" ht="51" x14ac:dyDescent="0.25">
      <c r="A254" s="9">
        <v>252</v>
      </c>
      <c r="B254" s="9" t="s">
        <v>283</v>
      </c>
      <c r="C254" s="9" t="s">
        <v>934</v>
      </c>
      <c r="D254" s="9" t="s">
        <v>906</v>
      </c>
      <c r="E254" s="9" t="s">
        <v>41</v>
      </c>
      <c r="F254" s="9" t="s">
        <v>935</v>
      </c>
      <c r="G254" s="9" t="s">
        <v>287</v>
      </c>
      <c r="H254" s="18">
        <v>49059</v>
      </c>
      <c r="I254" s="18">
        <v>47269</v>
      </c>
      <c r="J254" s="9"/>
      <c r="K254" s="9"/>
      <c r="L254" s="9" t="s">
        <v>288</v>
      </c>
    </row>
    <row r="255" spans="1:12" ht="51" x14ac:dyDescent="0.25">
      <c r="A255" s="9">
        <v>253</v>
      </c>
      <c r="B255" s="9" t="s">
        <v>283</v>
      </c>
      <c r="C255" s="9" t="s">
        <v>936</v>
      </c>
      <c r="D255" s="9" t="s">
        <v>906</v>
      </c>
      <c r="E255" s="9" t="s">
        <v>41</v>
      </c>
      <c r="F255" s="9" t="s">
        <v>937</v>
      </c>
      <c r="G255" s="9" t="s">
        <v>287</v>
      </c>
      <c r="H255" s="18">
        <v>49059</v>
      </c>
      <c r="I255" s="18">
        <v>47269</v>
      </c>
      <c r="J255" s="9"/>
      <c r="K255" s="9"/>
      <c r="L255" s="9" t="s">
        <v>288</v>
      </c>
    </row>
    <row r="256" spans="1:12" ht="51" x14ac:dyDescent="0.25">
      <c r="A256" s="9">
        <v>254</v>
      </c>
      <c r="B256" s="9" t="s">
        <v>283</v>
      </c>
      <c r="C256" s="9" t="s">
        <v>938</v>
      </c>
      <c r="D256" s="9" t="s">
        <v>906</v>
      </c>
      <c r="E256" s="9" t="s">
        <v>41</v>
      </c>
      <c r="F256" s="9" t="s">
        <v>939</v>
      </c>
      <c r="G256" s="9" t="s">
        <v>287</v>
      </c>
      <c r="H256" s="18">
        <v>49059</v>
      </c>
      <c r="I256" s="18">
        <v>47269</v>
      </c>
      <c r="J256" s="9"/>
      <c r="K256" s="9"/>
      <c r="L256" s="9" t="s">
        <v>288</v>
      </c>
    </row>
    <row r="257" spans="1:12" ht="38.25" x14ac:dyDescent="0.25">
      <c r="A257" s="9">
        <v>255</v>
      </c>
      <c r="B257" s="9" t="s">
        <v>283</v>
      </c>
      <c r="C257" s="9" t="s">
        <v>152</v>
      </c>
      <c r="D257" s="9" t="s">
        <v>940</v>
      </c>
      <c r="E257" s="9" t="s">
        <v>41</v>
      </c>
      <c r="F257" s="9" t="s">
        <v>941</v>
      </c>
      <c r="G257" s="9" t="s">
        <v>287</v>
      </c>
      <c r="H257" s="18">
        <v>49059</v>
      </c>
      <c r="I257" s="18">
        <v>47269</v>
      </c>
      <c r="J257" s="9"/>
      <c r="K257" s="9"/>
      <c r="L257" s="9" t="s">
        <v>288</v>
      </c>
    </row>
    <row r="258" spans="1:12" ht="38.25" x14ac:dyDescent="0.25">
      <c r="A258" s="9">
        <v>256</v>
      </c>
      <c r="B258" s="9" t="s">
        <v>283</v>
      </c>
      <c r="C258" s="9" t="s">
        <v>942</v>
      </c>
      <c r="D258" s="9" t="s">
        <v>943</v>
      </c>
      <c r="E258" s="9" t="s">
        <v>41</v>
      </c>
      <c r="F258" s="9" t="s">
        <v>944</v>
      </c>
      <c r="G258" s="9" t="s">
        <v>287</v>
      </c>
      <c r="H258" s="18">
        <v>49059</v>
      </c>
      <c r="I258" s="18">
        <v>47269</v>
      </c>
      <c r="J258" s="9"/>
      <c r="K258" s="9"/>
      <c r="L258" s="9" t="s">
        <v>288</v>
      </c>
    </row>
    <row r="259" spans="1:12" ht="25.5" x14ac:dyDescent="0.25">
      <c r="A259" s="9">
        <v>257</v>
      </c>
      <c r="B259" s="9" t="s">
        <v>283</v>
      </c>
      <c r="C259" s="9" t="s">
        <v>945</v>
      </c>
      <c r="D259" s="9" t="s">
        <v>946</v>
      </c>
      <c r="E259" s="9" t="s">
        <v>41</v>
      </c>
      <c r="F259" s="9" t="s">
        <v>947</v>
      </c>
      <c r="G259" s="9" t="s">
        <v>287</v>
      </c>
      <c r="H259" s="18">
        <v>49059</v>
      </c>
      <c r="I259" s="18">
        <v>47269</v>
      </c>
      <c r="J259" s="9"/>
      <c r="K259" s="9"/>
      <c r="L259" s="9" t="s">
        <v>288</v>
      </c>
    </row>
    <row r="260" spans="1:12" ht="25.5" x14ac:dyDescent="0.25">
      <c r="A260" s="9">
        <v>258</v>
      </c>
      <c r="B260" s="9" t="s">
        <v>283</v>
      </c>
      <c r="C260" s="9" t="s">
        <v>948</v>
      </c>
      <c r="D260" s="9" t="s">
        <v>949</v>
      </c>
      <c r="E260" s="9" t="s">
        <v>41</v>
      </c>
      <c r="F260" s="9" t="s">
        <v>950</v>
      </c>
      <c r="G260" s="9" t="s">
        <v>287</v>
      </c>
      <c r="H260" s="18">
        <v>49059</v>
      </c>
      <c r="I260" s="18">
        <v>47269</v>
      </c>
      <c r="J260" s="9"/>
      <c r="K260" s="9"/>
      <c r="L260" s="9" t="s">
        <v>288</v>
      </c>
    </row>
    <row r="261" spans="1:12" ht="140.25" x14ac:dyDescent="0.25">
      <c r="A261" s="9">
        <v>259</v>
      </c>
      <c r="B261" s="9" t="s">
        <v>283</v>
      </c>
      <c r="C261" s="9" t="s">
        <v>951</v>
      </c>
      <c r="D261" s="9" t="s">
        <v>952</v>
      </c>
      <c r="E261" s="9" t="s">
        <v>41</v>
      </c>
      <c r="F261" s="9" t="s">
        <v>953</v>
      </c>
      <c r="G261" s="9" t="s">
        <v>287</v>
      </c>
      <c r="H261" s="18">
        <v>49059</v>
      </c>
      <c r="I261" s="18">
        <v>47269</v>
      </c>
      <c r="J261" s="9" t="s">
        <v>954</v>
      </c>
      <c r="K261" s="9"/>
      <c r="L261" s="9" t="s">
        <v>288</v>
      </c>
    </row>
    <row r="262" spans="1:12" ht="51" x14ac:dyDescent="0.25">
      <c r="A262" s="9">
        <v>260</v>
      </c>
      <c r="B262" s="9" t="s">
        <v>283</v>
      </c>
      <c r="C262" s="9" t="s">
        <v>955</v>
      </c>
      <c r="D262" s="9" t="s">
        <v>956</v>
      </c>
      <c r="E262" s="9" t="s">
        <v>41</v>
      </c>
      <c r="F262" s="9" t="s">
        <v>957</v>
      </c>
      <c r="G262" s="9" t="s">
        <v>287</v>
      </c>
      <c r="H262" s="18">
        <v>49059</v>
      </c>
      <c r="I262" s="18">
        <v>47269</v>
      </c>
      <c r="J262" s="9"/>
      <c r="K262" s="9"/>
      <c r="L262" s="9" t="s">
        <v>288</v>
      </c>
    </row>
    <row r="263" spans="1:12" ht="38.25" x14ac:dyDescent="0.25">
      <c r="A263" s="9">
        <v>261</v>
      </c>
      <c r="B263" s="9" t="s">
        <v>283</v>
      </c>
      <c r="C263" s="9" t="s">
        <v>958</v>
      </c>
      <c r="D263" s="9" t="s">
        <v>952</v>
      </c>
      <c r="E263" s="9" t="s">
        <v>41</v>
      </c>
      <c r="F263" s="9" t="s">
        <v>959</v>
      </c>
      <c r="G263" s="9" t="s">
        <v>287</v>
      </c>
      <c r="H263" s="18">
        <v>49059</v>
      </c>
      <c r="I263" s="18">
        <v>47269</v>
      </c>
      <c r="J263" s="9"/>
      <c r="K263" s="9"/>
      <c r="L263" s="9" t="s">
        <v>288</v>
      </c>
    </row>
    <row r="264" spans="1:12" ht="38.25" x14ac:dyDescent="0.25">
      <c r="A264" s="9">
        <v>262</v>
      </c>
      <c r="B264" s="9" t="s">
        <v>283</v>
      </c>
      <c r="C264" s="9" t="s">
        <v>960</v>
      </c>
      <c r="D264" s="9" t="s">
        <v>952</v>
      </c>
      <c r="E264" s="9" t="s">
        <v>41</v>
      </c>
      <c r="F264" s="9" t="s">
        <v>961</v>
      </c>
      <c r="G264" s="9" t="s">
        <v>287</v>
      </c>
      <c r="H264" s="18">
        <v>49059</v>
      </c>
      <c r="I264" s="18">
        <v>47269</v>
      </c>
      <c r="J264" s="9"/>
      <c r="K264" s="9"/>
      <c r="L264" s="9" t="s">
        <v>288</v>
      </c>
    </row>
    <row r="265" spans="1:12" ht="38.25" x14ac:dyDescent="0.25">
      <c r="A265" s="9">
        <v>263</v>
      </c>
      <c r="B265" s="9" t="s">
        <v>283</v>
      </c>
      <c r="C265" s="9" t="s">
        <v>962</v>
      </c>
      <c r="D265" s="9" t="s">
        <v>952</v>
      </c>
      <c r="E265" s="9" t="s">
        <v>41</v>
      </c>
      <c r="F265" s="9" t="s">
        <v>963</v>
      </c>
      <c r="G265" s="9" t="s">
        <v>287</v>
      </c>
      <c r="H265" s="18">
        <v>49059</v>
      </c>
      <c r="I265" s="18">
        <v>47269</v>
      </c>
      <c r="J265" s="9"/>
      <c r="K265" s="9"/>
      <c r="L265" s="9" t="s">
        <v>288</v>
      </c>
    </row>
    <row r="266" spans="1:12" ht="38.25" x14ac:dyDescent="0.25">
      <c r="A266" s="9">
        <v>264</v>
      </c>
      <c r="B266" s="9" t="s">
        <v>283</v>
      </c>
      <c r="C266" s="9" t="s">
        <v>964</v>
      </c>
      <c r="D266" s="9" t="s">
        <v>952</v>
      </c>
      <c r="E266" s="9" t="s">
        <v>41</v>
      </c>
      <c r="F266" s="9" t="s">
        <v>965</v>
      </c>
      <c r="G266" s="9" t="s">
        <v>287</v>
      </c>
      <c r="H266" s="18">
        <v>49059</v>
      </c>
      <c r="I266" s="18">
        <v>47269</v>
      </c>
      <c r="J266" s="9"/>
      <c r="K266" s="9"/>
      <c r="L266" s="9" t="s">
        <v>288</v>
      </c>
    </row>
    <row r="267" spans="1:12" ht="38.25" x14ac:dyDescent="0.25">
      <c r="A267" s="9">
        <v>265</v>
      </c>
      <c r="B267" s="9" t="s">
        <v>283</v>
      </c>
      <c r="C267" s="9" t="s">
        <v>966</v>
      </c>
      <c r="D267" s="9" t="s">
        <v>952</v>
      </c>
      <c r="E267" s="9" t="s">
        <v>41</v>
      </c>
      <c r="F267" s="9" t="s">
        <v>967</v>
      </c>
      <c r="G267" s="9" t="s">
        <v>287</v>
      </c>
      <c r="H267" s="18">
        <v>49059</v>
      </c>
      <c r="I267" s="18">
        <v>47269</v>
      </c>
      <c r="J267" s="9"/>
      <c r="K267" s="9"/>
      <c r="L267" s="9" t="s">
        <v>288</v>
      </c>
    </row>
    <row r="268" spans="1:12" ht="51" x14ac:dyDescent="0.25">
      <c r="A268" s="9">
        <v>266</v>
      </c>
      <c r="B268" s="9" t="s">
        <v>283</v>
      </c>
      <c r="C268" s="9" t="s">
        <v>968</v>
      </c>
      <c r="D268" s="9" t="s">
        <v>969</v>
      </c>
      <c r="E268" s="9" t="s">
        <v>41</v>
      </c>
      <c r="F268" s="9" t="s">
        <v>970</v>
      </c>
      <c r="G268" s="9" t="s">
        <v>287</v>
      </c>
      <c r="H268" s="18">
        <v>49059</v>
      </c>
      <c r="I268" s="18">
        <v>47269</v>
      </c>
      <c r="J268" s="9"/>
      <c r="K268" s="9"/>
      <c r="L268" s="9" t="s">
        <v>288</v>
      </c>
    </row>
    <row r="269" spans="1:12" ht="51" x14ac:dyDescent="0.25">
      <c r="A269" s="9">
        <v>267</v>
      </c>
      <c r="B269" s="9" t="s">
        <v>283</v>
      </c>
      <c r="C269" s="9" t="s">
        <v>971</v>
      </c>
      <c r="D269" s="9" t="s">
        <v>969</v>
      </c>
      <c r="E269" s="9" t="s">
        <v>41</v>
      </c>
      <c r="F269" s="9" t="s">
        <v>972</v>
      </c>
      <c r="G269" s="9" t="s">
        <v>287</v>
      </c>
      <c r="H269" s="18">
        <v>49059</v>
      </c>
      <c r="I269" s="18">
        <v>47269</v>
      </c>
      <c r="J269" s="9"/>
      <c r="K269" s="9"/>
      <c r="L269" s="9" t="s">
        <v>288</v>
      </c>
    </row>
    <row r="270" spans="1:12" ht="63.75" x14ac:dyDescent="0.25">
      <c r="A270" s="9">
        <v>268</v>
      </c>
      <c r="B270" s="9" t="s">
        <v>283</v>
      </c>
      <c r="C270" s="9" t="s">
        <v>973</v>
      </c>
      <c r="D270" s="9" t="s">
        <v>974</v>
      </c>
      <c r="E270" s="9" t="s">
        <v>41</v>
      </c>
      <c r="F270" s="9" t="s">
        <v>975</v>
      </c>
      <c r="G270" s="9" t="s">
        <v>287</v>
      </c>
      <c r="H270" s="18">
        <v>49059</v>
      </c>
      <c r="I270" s="18">
        <v>47269</v>
      </c>
      <c r="J270" s="9" t="s">
        <v>976</v>
      </c>
      <c r="K270" s="9"/>
      <c r="L270" s="9" t="s">
        <v>288</v>
      </c>
    </row>
    <row r="271" spans="1:12" ht="38.25" x14ac:dyDescent="0.25">
      <c r="A271" s="9">
        <v>269</v>
      </c>
      <c r="B271" s="9" t="s">
        <v>283</v>
      </c>
      <c r="C271" s="9" t="s">
        <v>977</v>
      </c>
      <c r="D271" s="9" t="s">
        <v>978</v>
      </c>
      <c r="E271" s="9" t="s">
        <v>41</v>
      </c>
      <c r="F271" s="9" t="s">
        <v>979</v>
      </c>
      <c r="G271" s="9" t="s">
        <v>287</v>
      </c>
      <c r="H271" s="18">
        <v>49059</v>
      </c>
      <c r="I271" s="18">
        <v>47269</v>
      </c>
      <c r="J271" s="9"/>
      <c r="K271" s="9"/>
      <c r="L271" s="9" t="s">
        <v>288</v>
      </c>
    </row>
    <row r="272" spans="1:12" ht="25.5" x14ac:dyDescent="0.25">
      <c r="A272" s="9">
        <v>270</v>
      </c>
      <c r="B272" s="9" t="s">
        <v>283</v>
      </c>
      <c r="C272" s="9" t="s">
        <v>980</v>
      </c>
      <c r="D272" s="9" t="s">
        <v>981</v>
      </c>
      <c r="E272" s="9" t="s">
        <v>41</v>
      </c>
      <c r="F272" s="9" t="s">
        <v>982</v>
      </c>
      <c r="G272" s="9" t="s">
        <v>287</v>
      </c>
      <c r="H272" s="18">
        <v>49059</v>
      </c>
      <c r="I272" s="18">
        <v>47269</v>
      </c>
      <c r="J272" s="9"/>
      <c r="K272" s="9"/>
      <c r="L272" s="9" t="s">
        <v>288</v>
      </c>
    </row>
    <row r="273" spans="1:12" ht="38.25" x14ac:dyDescent="0.25">
      <c r="A273" s="9">
        <v>271</v>
      </c>
      <c r="B273" s="9" t="s">
        <v>283</v>
      </c>
      <c r="C273" s="9" t="s">
        <v>983</v>
      </c>
      <c r="D273" s="9" t="s">
        <v>984</v>
      </c>
      <c r="E273" s="9" t="s">
        <v>41</v>
      </c>
      <c r="F273" s="9" t="s">
        <v>985</v>
      </c>
      <c r="G273" s="9" t="s">
        <v>287</v>
      </c>
      <c r="H273" s="18">
        <v>49059</v>
      </c>
      <c r="I273" s="18">
        <v>47269</v>
      </c>
      <c r="J273" s="9"/>
      <c r="K273" s="9"/>
      <c r="L273" s="9" t="s">
        <v>288</v>
      </c>
    </row>
    <row r="274" spans="1:12" ht="51" x14ac:dyDescent="0.25">
      <c r="A274" s="9">
        <v>272</v>
      </c>
      <c r="B274" s="9" t="s">
        <v>283</v>
      </c>
      <c r="C274" s="9" t="s">
        <v>986</v>
      </c>
      <c r="D274" s="9" t="s">
        <v>987</v>
      </c>
      <c r="E274" s="9" t="s">
        <v>41</v>
      </c>
      <c r="F274" s="9" t="s">
        <v>988</v>
      </c>
      <c r="G274" s="9" t="s">
        <v>287</v>
      </c>
      <c r="H274" s="18">
        <v>49059</v>
      </c>
      <c r="I274" s="18">
        <v>47269</v>
      </c>
      <c r="J274" s="9"/>
      <c r="K274" s="9"/>
      <c r="L274" s="9" t="s">
        <v>288</v>
      </c>
    </row>
    <row r="275" spans="1:12" ht="38.25" x14ac:dyDescent="0.25">
      <c r="A275" s="9">
        <v>273</v>
      </c>
      <c r="B275" s="9" t="s">
        <v>283</v>
      </c>
      <c r="C275" s="9" t="s">
        <v>989</v>
      </c>
      <c r="D275" s="9" t="s">
        <v>990</v>
      </c>
      <c r="E275" s="9" t="s">
        <v>41</v>
      </c>
      <c r="F275" s="9" t="s">
        <v>991</v>
      </c>
      <c r="G275" s="9" t="s">
        <v>287</v>
      </c>
      <c r="H275" s="18">
        <v>49059</v>
      </c>
      <c r="I275" s="18">
        <v>47269</v>
      </c>
      <c r="J275" s="9"/>
      <c r="K275" s="9"/>
      <c r="L275" s="9" t="s">
        <v>288</v>
      </c>
    </row>
    <row r="276" spans="1:12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</sheetData>
  <mergeCells count="1">
    <mergeCell ref="A1:L1"/>
  </mergeCells>
  <conditionalFormatting sqref="H3:H500">
    <cfRule type="expression" dxfId="37" priority="2">
      <formula>AND($H3&lt;&gt;"",$H3&lt;TODAY())</formula>
    </cfRule>
    <cfRule type="expression" dxfId="36" priority="3">
      <formula>AND($H3&lt;&gt;"",$H3&gt;=TODAY(),$H3-TODAY()&lt;=365)</formula>
    </cfRule>
  </conditionalFormatting>
  <dataValidations count="4">
    <dataValidation type="list" allowBlank="1" showErrorMessage="1" errorTitle="Invalid entry" error="Please choose a value from the drop-down list." sqref="B3:B500" xr:uid="{00000000-0002-0000-0300-000000000000}">
      <formula1>"Operating System,Container Base Image,Embedded Firmware,Third-Party Cloud Service,External API,Other Infrastructure"</formula1>
      <formula2>0</formula2>
    </dataValidation>
    <dataValidation type="list" allowBlank="1" showErrorMessage="1" errorTitle="Invalid entry" error="Please choose a value from the drop-down list." sqref="G3:G500" xr:uid="{00000000-0002-0000-0300-000001000000}">
      <formula1>"Actively maintained,No longer maintained,Abandoned,Unknown"</formula1>
      <formula2>0</formula2>
    </dataValidation>
    <dataValidation type="list" allowBlank="1" showErrorMessage="1" errorTitle="Invalid entry" error="Please choose a value from the drop-down list." sqref="K3:K500" xr:uid="{00000000-0002-0000-0300-000002000000}">
      <formula1>"None,Indirect,Direct"</formula1>
      <formula2>0</formula2>
    </dataValidation>
    <dataValidation type="date" operator="greaterThan" allowBlank="1" showErrorMessage="1" errorTitle="Invalid date" error="Enter a real date (YYYY-MM-DD)." sqref="H3:I500" xr:uid="{00000000-0002-0000-0300-000003000000}">
      <formula1>DATE(1990,1,1)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 &amp;K008000 Classification: Internal#_x000D_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00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XFD3"/>
    </sheetView>
  </sheetViews>
  <sheetFormatPr defaultColWidth="8.5703125" defaultRowHeight="15" x14ac:dyDescent="0.25"/>
  <cols>
    <col min="1" max="1" width="6" customWidth="1"/>
    <col min="2" max="2" width="20" customWidth="1"/>
    <col min="3" max="3" width="14" customWidth="1"/>
    <col min="4" max="4" width="20" customWidth="1"/>
    <col min="5" max="5" width="11" customWidth="1"/>
    <col min="6" max="6" width="12" customWidth="1"/>
    <col min="7" max="7" width="22" customWidth="1"/>
    <col min="8" max="9" width="11" customWidth="1"/>
    <col min="10" max="10" width="13" customWidth="1"/>
    <col min="11" max="11" width="16" customWidth="1"/>
    <col min="12" max="12" width="30" customWidth="1"/>
    <col min="13" max="13" width="15" customWidth="1"/>
    <col min="14" max="14" width="20" customWidth="1"/>
    <col min="15" max="15" width="30" customWidth="1"/>
    <col min="16" max="16" width="20" customWidth="1"/>
    <col min="17" max="17" width="16" customWidth="1"/>
    <col min="18" max="19" width="14" customWidth="1"/>
    <col min="20" max="20" width="26" customWidth="1"/>
  </cols>
  <sheetData>
    <row r="1" spans="1:22" ht="30" customHeight="1" x14ac:dyDescent="0.25">
      <c r="A1" s="19" t="s">
        <v>992</v>
      </c>
      <c r="B1" s="20"/>
      <c r="C1" s="20"/>
      <c r="D1" s="21"/>
      <c r="E1" s="19" t="s">
        <v>993</v>
      </c>
      <c r="F1" s="20"/>
      <c r="G1" s="20"/>
      <c r="H1" s="21"/>
      <c r="I1" s="19" t="s">
        <v>994</v>
      </c>
      <c r="J1" s="21"/>
      <c r="K1" s="19" t="s">
        <v>995</v>
      </c>
      <c r="L1" s="20"/>
      <c r="M1" s="20"/>
      <c r="N1" s="21"/>
      <c r="O1" s="19" t="s">
        <v>996</v>
      </c>
      <c r="P1" s="20"/>
      <c r="Q1" s="20"/>
      <c r="R1" s="21"/>
      <c r="S1" s="19" t="s">
        <v>997</v>
      </c>
      <c r="T1" s="21"/>
      <c r="U1" s="8" t="s">
        <v>998</v>
      </c>
      <c r="V1" s="8">
        <f>COUNTA(D3:D500)</f>
        <v>120</v>
      </c>
    </row>
    <row r="2" spans="1:22" ht="39.75" customHeight="1" x14ac:dyDescent="0.25">
      <c r="A2" s="4" t="s">
        <v>8</v>
      </c>
      <c r="B2" s="4" t="s">
        <v>9</v>
      </c>
      <c r="C2" s="4" t="s">
        <v>999</v>
      </c>
      <c r="D2" s="4" t="s">
        <v>1000</v>
      </c>
      <c r="E2" s="4" t="s">
        <v>1001</v>
      </c>
      <c r="F2" s="4" t="s">
        <v>1002</v>
      </c>
      <c r="G2" s="4" t="s">
        <v>1003</v>
      </c>
      <c r="H2" s="4" t="s">
        <v>1004</v>
      </c>
      <c r="I2" s="4" t="s">
        <v>1005</v>
      </c>
      <c r="J2" s="4" t="s">
        <v>1006</v>
      </c>
      <c r="K2" s="4" t="s">
        <v>1007</v>
      </c>
      <c r="L2" s="4" t="s">
        <v>1008</v>
      </c>
      <c r="M2" s="4" t="s">
        <v>1009</v>
      </c>
      <c r="N2" s="4" t="s">
        <v>1010</v>
      </c>
      <c r="O2" s="4" t="s">
        <v>1011</v>
      </c>
      <c r="P2" s="4" t="s">
        <v>1012</v>
      </c>
      <c r="Q2" s="4" t="s">
        <v>1013</v>
      </c>
      <c r="R2" s="4" t="s">
        <v>1014</v>
      </c>
      <c r="S2" s="4" t="s">
        <v>1015</v>
      </c>
      <c r="T2" s="4" t="s">
        <v>6</v>
      </c>
      <c r="U2" s="8" t="s">
        <v>1016</v>
      </c>
      <c r="V2" s="8">
        <f>COUNTIFS(H3:H500,"Critical",S3:S500,"Open")+COUNTIFS(H3:H500,"High",S3:S500,"Open")</f>
        <v>14</v>
      </c>
    </row>
    <row r="3" spans="1:22" ht="25.5" x14ac:dyDescent="0.25">
      <c r="A3" s="9">
        <v>1</v>
      </c>
      <c r="B3" s="9" t="s">
        <v>142</v>
      </c>
      <c r="C3" s="9" t="s">
        <v>143</v>
      </c>
      <c r="D3" s="9" t="s">
        <v>1017</v>
      </c>
      <c r="E3" s="9"/>
      <c r="F3" s="9"/>
      <c r="G3" s="9" t="s">
        <v>1018</v>
      </c>
      <c r="H3" s="9" t="s">
        <v>1019</v>
      </c>
      <c r="I3" s="9">
        <v>1.98E-3</v>
      </c>
      <c r="J3" s="9" t="s">
        <v>1020</v>
      </c>
      <c r="K3" s="9" t="s">
        <v>1021</v>
      </c>
      <c r="L3" s="9"/>
      <c r="M3" s="9"/>
      <c r="N3" s="9"/>
      <c r="O3" s="9"/>
      <c r="P3" s="9" t="s">
        <v>1022</v>
      </c>
      <c r="Q3" s="9"/>
      <c r="R3" s="9"/>
      <c r="S3" s="9" t="s">
        <v>1023</v>
      </c>
      <c r="T3" s="9" t="s">
        <v>1024</v>
      </c>
      <c r="U3" s="8"/>
      <c r="V3" s="8">
        <f>COUNTIFS(D3:D500,"&lt;&gt;",L3:L500,"")</f>
        <v>120</v>
      </c>
    </row>
    <row r="4" spans="1:22" ht="25.5" x14ac:dyDescent="0.25">
      <c r="A4" s="9">
        <v>2</v>
      </c>
      <c r="B4" s="9" t="s">
        <v>142</v>
      </c>
      <c r="C4" s="9" t="s">
        <v>143</v>
      </c>
      <c r="D4" s="9" t="s">
        <v>1025</v>
      </c>
      <c r="E4" s="9"/>
      <c r="F4" s="9"/>
      <c r="G4" s="9" t="s">
        <v>1018</v>
      </c>
      <c r="H4" s="9" t="s">
        <v>1026</v>
      </c>
      <c r="I4" s="9">
        <v>1.99E-3</v>
      </c>
      <c r="J4" s="9" t="s">
        <v>1020</v>
      </c>
      <c r="K4" s="9" t="s">
        <v>1021</v>
      </c>
      <c r="L4" s="9"/>
      <c r="M4" s="9"/>
      <c r="N4" s="9"/>
      <c r="O4" s="9"/>
      <c r="P4" s="9" t="s">
        <v>109</v>
      </c>
      <c r="Q4" s="9"/>
      <c r="R4" s="9"/>
      <c r="S4" s="9" t="s">
        <v>1023</v>
      </c>
      <c r="T4" s="9" t="s">
        <v>1024</v>
      </c>
      <c r="U4" s="8"/>
      <c r="V4" s="8">
        <f>COUNTIF(K3:K500,"Under Investigation")</f>
        <v>120</v>
      </c>
    </row>
    <row r="5" spans="1:22" ht="25.5" x14ac:dyDescent="0.25">
      <c r="A5" s="9">
        <v>3</v>
      </c>
      <c r="B5" s="9" t="s">
        <v>142</v>
      </c>
      <c r="C5" s="9" t="s">
        <v>143</v>
      </c>
      <c r="D5" s="9" t="s">
        <v>1027</v>
      </c>
      <c r="E5" s="9"/>
      <c r="F5" s="9"/>
      <c r="G5" s="9" t="s">
        <v>1018</v>
      </c>
      <c r="H5" s="9" t="s">
        <v>1026</v>
      </c>
      <c r="I5" s="9">
        <v>1.98E-3</v>
      </c>
      <c r="J5" s="9" t="s">
        <v>1020</v>
      </c>
      <c r="K5" s="9" t="s">
        <v>1021</v>
      </c>
      <c r="L5" s="9"/>
      <c r="M5" s="9"/>
      <c r="N5" s="9"/>
      <c r="O5" s="9"/>
      <c r="P5" s="9" t="s">
        <v>1028</v>
      </c>
      <c r="Q5" s="9"/>
      <c r="R5" s="9"/>
      <c r="S5" s="9" t="s">
        <v>1023</v>
      </c>
      <c r="T5" s="9" t="s">
        <v>1024</v>
      </c>
      <c r="U5" s="8"/>
      <c r="V5" s="8">
        <f>COUNTIFS(D3:D500,"&lt;&gt;",F3:F500,"")</f>
        <v>119</v>
      </c>
    </row>
    <row r="6" spans="1:22" ht="25.5" x14ac:dyDescent="0.25">
      <c r="A6" s="9">
        <v>4</v>
      </c>
      <c r="B6" s="9" t="s">
        <v>142</v>
      </c>
      <c r="C6" s="9" t="s">
        <v>143</v>
      </c>
      <c r="D6" s="9" t="s">
        <v>1029</v>
      </c>
      <c r="E6" s="9"/>
      <c r="F6" s="9"/>
      <c r="G6" s="9" t="s">
        <v>1030</v>
      </c>
      <c r="H6" s="9" t="s">
        <v>1019</v>
      </c>
      <c r="I6" s="9">
        <v>3.1700000000000001E-3</v>
      </c>
      <c r="J6" s="9" t="s">
        <v>1020</v>
      </c>
      <c r="K6" s="9" t="s">
        <v>1021</v>
      </c>
      <c r="L6" s="9"/>
      <c r="M6" s="9"/>
      <c r="N6" s="9"/>
      <c r="O6" s="9"/>
      <c r="P6" s="9" t="s">
        <v>1031</v>
      </c>
      <c r="Q6" s="9"/>
      <c r="R6" s="9"/>
      <c r="S6" s="9" t="s">
        <v>1023</v>
      </c>
      <c r="T6" s="9" t="s">
        <v>1024</v>
      </c>
      <c r="U6" s="8"/>
      <c r="V6" s="8">
        <f>COUNTIFS(D3:D500,"&lt;&gt;",R3:R500,"")</f>
        <v>120</v>
      </c>
    </row>
    <row r="7" spans="1:22" ht="25.5" x14ac:dyDescent="0.25">
      <c r="A7" s="9">
        <v>5</v>
      </c>
      <c r="B7" s="9" t="s">
        <v>142</v>
      </c>
      <c r="C7" s="9" t="s">
        <v>143</v>
      </c>
      <c r="D7" s="9" t="s">
        <v>1032</v>
      </c>
      <c r="E7" s="9"/>
      <c r="F7" s="9"/>
      <c r="G7" s="9" t="s">
        <v>1033</v>
      </c>
      <c r="H7" s="9" t="s">
        <v>46</v>
      </c>
      <c r="I7" s="9">
        <v>4.2300000000000003E-3</v>
      </c>
      <c r="J7" s="9" t="s">
        <v>1020</v>
      </c>
      <c r="K7" s="9" t="s">
        <v>1021</v>
      </c>
      <c r="L7" s="9"/>
      <c r="M7" s="9"/>
      <c r="N7" s="9"/>
      <c r="O7" s="9"/>
      <c r="P7" s="9" t="s">
        <v>112</v>
      </c>
      <c r="Q7" s="9"/>
      <c r="R7" s="9"/>
      <c r="S7" s="9" t="s">
        <v>1023</v>
      </c>
      <c r="T7" s="9" t="s">
        <v>1024</v>
      </c>
    </row>
    <row r="8" spans="1:22" ht="25.5" x14ac:dyDescent="0.25">
      <c r="A8" s="9">
        <v>6</v>
      </c>
      <c r="B8" s="9" t="s">
        <v>142</v>
      </c>
      <c r="C8" s="9" t="s">
        <v>143</v>
      </c>
      <c r="D8" s="9" t="s">
        <v>1034</v>
      </c>
      <c r="E8" s="9"/>
      <c r="F8" s="9"/>
      <c r="G8" s="9" t="s">
        <v>1033</v>
      </c>
      <c r="H8" s="9" t="s">
        <v>46</v>
      </c>
      <c r="I8" s="9">
        <v>4.1799999999999997E-3</v>
      </c>
      <c r="J8" s="9" t="s">
        <v>1020</v>
      </c>
      <c r="K8" s="9" t="s">
        <v>1021</v>
      </c>
      <c r="L8" s="9"/>
      <c r="M8" s="9"/>
      <c r="N8" s="9"/>
      <c r="O8" s="9"/>
      <c r="P8" s="9" t="s">
        <v>112</v>
      </c>
      <c r="Q8" s="9"/>
      <c r="R8" s="9"/>
      <c r="S8" s="9" t="s">
        <v>1023</v>
      </c>
      <c r="T8" s="9" t="s">
        <v>1024</v>
      </c>
    </row>
    <row r="9" spans="1:22" ht="25.5" x14ac:dyDescent="0.25">
      <c r="A9" s="9">
        <v>7</v>
      </c>
      <c r="B9" s="9" t="s">
        <v>142</v>
      </c>
      <c r="C9" s="9" t="s">
        <v>143</v>
      </c>
      <c r="D9" s="9" t="s">
        <v>1035</v>
      </c>
      <c r="E9" s="9"/>
      <c r="F9" s="9"/>
      <c r="G9" s="9" t="s">
        <v>1036</v>
      </c>
      <c r="H9" s="9" t="s">
        <v>46</v>
      </c>
      <c r="I9" s="9">
        <v>3.15E-3</v>
      </c>
      <c r="J9" s="9" t="s">
        <v>1020</v>
      </c>
      <c r="K9" s="9" t="s">
        <v>1021</v>
      </c>
      <c r="L9" s="9"/>
      <c r="M9" s="9"/>
      <c r="N9" s="9"/>
      <c r="O9" s="9"/>
      <c r="P9" s="9" t="s">
        <v>112</v>
      </c>
      <c r="Q9" s="9"/>
      <c r="R9" s="9"/>
      <c r="S9" s="9" t="s">
        <v>1023</v>
      </c>
      <c r="T9" s="9" t="s">
        <v>1024</v>
      </c>
    </row>
    <row r="10" spans="1:22" ht="25.5" x14ac:dyDescent="0.25">
      <c r="A10" s="9">
        <v>8</v>
      </c>
      <c r="B10" s="9" t="s">
        <v>53</v>
      </c>
      <c r="C10" s="9" t="s">
        <v>54</v>
      </c>
      <c r="D10" s="9" t="s">
        <v>1037</v>
      </c>
      <c r="E10" s="9"/>
      <c r="F10" s="9"/>
      <c r="G10" s="9" t="s">
        <v>1038</v>
      </c>
      <c r="H10" s="9" t="s">
        <v>1019</v>
      </c>
      <c r="I10" s="9">
        <v>2.0100000000000001E-3</v>
      </c>
      <c r="J10" s="9" t="s">
        <v>1020</v>
      </c>
      <c r="K10" s="9" t="s">
        <v>1021</v>
      </c>
      <c r="L10" s="9"/>
      <c r="M10" s="9"/>
      <c r="N10" s="9"/>
      <c r="O10" s="9"/>
      <c r="P10" s="9" t="s">
        <v>1039</v>
      </c>
      <c r="Q10" s="9"/>
      <c r="R10" s="9"/>
      <c r="S10" s="9" t="s">
        <v>1023</v>
      </c>
      <c r="T10" s="9" t="s">
        <v>1024</v>
      </c>
    </row>
    <row r="11" spans="1:22" ht="25.5" x14ac:dyDescent="0.25">
      <c r="A11" s="9">
        <v>9</v>
      </c>
      <c r="B11" s="9" t="s">
        <v>53</v>
      </c>
      <c r="C11" s="9" t="s">
        <v>54</v>
      </c>
      <c r="D11" s="9" t="s">
        <v>1040</v>
      </c>
      <c r="E11" s="9"/>
      <c r="F11" s="9"/>
      <c r="G11" s="9" t="s">
        <v>1041</v>
      </c>
      <c r="H11" s="9" t="s">
        <v>1019</v>
      </c>
      <c r="I11" s="9">
        <v>1.2800000000000001E-3</v>
      </c>
      <c r="J11" s="9" t="s">
        <v>1020</v>
      </c>
      <c r="K11" s="9" t="s">
        <v>1021</v>
      </c>
      <c r="L11" s="9"/>
      <c r="M11" s="9"/>
      <c r="N11" s="9"/>
      <c r="O11" s="9"/>
      <c r="P11" s="9" t="s">
        <v>1042</v>
      </c>
      <c r="Q11" s="9"/>
      <c r="R11" s="9"/>
      <c r="S11" s="9" t="s">
        <v>1023</v>
      </c>
      <c r="T11" s="9" t="s">
        <v>1024</v>
      </c>
    </row>
    <row r="12" spans="1:22" ht="25.5" x14ac:dyDescent="0.25">
      <c r="A12" s="9">
        <v>10</v>
      </c>
      <c r="B12" s="9" t="s">
        <v>142</v>
      </c>
      <c r="C12" s="9" t="s">
        <v>143</v>
      </c>
      <c r="D12" s="9" t="s">
        <v>1043</v>
      </c>
      <c r="E12" s="9"/>
      <c r="F12" s="9"/>
      <c r="G12" s="9" t="s">
        <v>1044</v>
      </c>
      <c r="H12" s="9" t="s">
        <v>46</v>
      </c>
      <c r="I12" s="9">
        <v>7.0600000000000003E-3</v>
      </c>
      <c r="J12" s="9" t="s">
        <v>1020</v>
      </c>
      <c r="K12" s="9" t="s">
        <v>1021</v>
      </c>
      <c r="L12" s="9"/>
      <c r="M12" s="9"/>
      <c r="N12" s="9"/>
      <c r="O12" s="9"/>
      <c r="P12" s="9" t="s">
        <v>1028</v>
      </c>
      <c r="Q12" s="9"/>
      <c r="R12" s="9"/>
      <c r="S12" s="9" t="s">
        <v>1023</v>
      </c>
      <c r="T12" s="9" t="s">
        <v>1024</v>
      </c>
    </row>
    <row r="13" spans="1:22" ht="38.25" x14ac:dyDescent="0.25">
      <c r="A13" s="9">
        <v>11</v>
      </c>
      <c r="B13" s="9" t="s">
        <v>100</v>
      </c>
      <c r="C13" s="9" t="s">
        <v>101</v>
      </c>
      <c r="D13" s="9" t="s">
        <v>1045</v>
      </c>
      <c r="E13" s="9"/>
      <c r="F13" s="9"/>
      <c r="G13" s="9" t="s">
        <v>1046</v>
      </c>
      <c r="H13" s="9" t="s">
        <v>1047</v>
      </c>
      <c r="I13" s="9">
        <v>3.6700000000000001E-3</v>
      </c>
      <c r="J13" s="9" t="s">
        <v>1020</v>
      </c>
      <c r="K13" s="9" t="s">
        <v>1021</v>
      </c>
      <c r="L13" s="9"/>
      <c r="M13" s="9"/>
      <c r="N13" s="9"/>
      <c r="O13" s="9"/>
      <c r="P13" s="9" t="s">
        <v>1048</v>
      </c>
      <c r="Q13" s="9"/>
      <c r="R13" s="9"/>
      <c r="S13" s="9" t="s">
        <v>1023</v>
      </c>
      <c r="T13" s="9" t="s">
        <v>1049</v>
      </c>
    </row>
    <row r="14" spans="1:22" ht="25.5" x14ac:dyDescent="0.25">
      <c r="A14" s="9">
        <v>12</v>
      </c>
      <c r="B14" s="9" t="s">
        <v>100</v>
      </c>
      <c r="C14" s="9" t="s">
        <v>101</v>
      </c>
      <c r="D14" s="9" t="s">
        <v>1050</v>
      </c>
      <c r="E14" s="9"/>
      <c r="F14" s="9"/>
      <c r="G14" s="9" t="s">
        <v>1033</v>
      </c>
      <c r="H14" s="9" t="s">
        <v>1047</v>
      </c>
      <c r="I14" s="9">
        <v>6.7099999999999998E-3</v>
      </c>
      <c r="J14" s="9" t="s">
        <v>1020</v>
      </c>
      <c r="K14" s="9" t="s">
        <v>1021</v>
      </c>
      <c r="L14" s="9"/>
      <c r="M14" s="9"/>
      <c r="N14" s="9"/>
      <c r="O14" s="9"/>
      <c r="P14" s="9" t="s">
        <v>1051</v>
      </c>
      <c r="Q14" s="9"/>
      <c r="R14" s="9"/>
      <c r="S14" s="9" t="s">
        <v>1023</v>
      </c>
      <c r="T14" s="9" t="s">
        <v>1049</v>
      </c>
    </row>
    <row r="15" spans="1:22" ht="25.5" x14ac:dyDescent="0.25">
      <c r="A15" s="9">
        <v>13</v>
      </c>
      <c r="B15" s="9" t="s">
        <v>100</v>
      </c>
      <c r="C15" s="9" t="s">
        <v>101</v>
      </c>
      <c r="D15" s="9" t="s">
        <v>1052</v>
      </c>
      <c r="E15" s="9"/>
      <c r="F15" s="9"/>
      <c r="G15" s="9" t="s">
        <v>1053</v>
      </c>
      <c r="H15" s="9" t="s">
        <v>1019</v>
      </c>
      <c r="I15" s="9">
        <v>1.14E-3</v>
      </c>
      <c r="J15" s="9" t="s">
        <v>1020</v>
      </c>
      <c r="K15" s="9" t="s">
        <v>1021</v>
      </c>
      <c r="L15" s="9"/>
      <c r="M15" s="9"/>
      <c r="N15" s="9"/>
      <c r="O15" s="9"/>
      <c r="P15" s="9" t="s">
        <v>1051</v>
      </c>
      <c r="Q15" s="9"/>
      <c r="R15" s="9"/>
      <c r="S15" s="9" t="s">
        <v>1023</v>
      </c>
      <c r="T15" s="9" t="s">
        <v>1049</v>
      </c>
    </row>
    <row r="16" spans="1:22" ht="25.5" x14ac:dyDescent="0.25">
      <c r="A16" s="9">
        <v>14</v>
      </c>
      <c r="B16" s="9" t="s">
        <v>100</v>
      </c>
      <c r="C16" s="9" t="s">
        <v>101</v>
      </c>
      <c r="D16" s="9" t="s">
        <v>1054</v>
      </c>
      <c r="E16" s="9"/>
      <c r="F16" s="9"/>
      <c r="G16" s="9" t="s">
        <v>1053</v>
      </c>
      <c r="H16" s="9" t="s">
        <v>1019</v>
      </c>
      <c r="I16" s="9">
        <v>1.33E-3</v>
      </c>
      <c r="J16" s="9" t="s">
        <v>1020</v>
      </c>
      <c r="K16" s="9" t="s">
        <v>1021</v>
      </c>
      <c r="L16" s="9"/>
      <c r="M16" s="9"/>
      <c r="N16" s="9"/>
      <c r="O16" s="9"/>
      <c r="P16" s="9" t="s">
        <v>1051</v>
      </c>
      <c r="Q16" s="9"/>
      <c r="R16" s="9"/>
      <c r="S16" s="9" t="s">
        <v>1023</v>
      </c>
      <c r="T16" s="9" t="s">
        <v>1049</v>
      </c>
    </row>
    <row r="17" spans="1:20" ht="25.5" x14ac:dyDescent="0.25">
      <c r="A17" s="9">
        <v>15</v>
      </c>
      <c r="B17" s="9" t="s">
        <v>100</v>
      </c>
      <c r="C17" s="9" t="s">
        <v>101</v>
      </c>
      <c r="D17" s="9" t="s">
        <v>1055</v>
      </c>
      <c r="E17" s="9"/>
      <c r="F17" s="9"/>
      <c r="G17" s="9" t="s">
        <v>1053</v>
      </c>
      <c r="H17" s="9" t="s">
        <v>1019</v>
      </c>
      <c r="I17" s="9">
        <v>1.2600000000000001E-3</v>
      </c>
      <c r="J17" s="9" t="s">
        <v>1020</v>
      </c>
      <c r="K17" s="9" t="s">
        <v>1021</v>
      </c>
      <c r="L17" s="9"/>
      <c r="M17" s="9"/>
      <c r="N17" s="9"/>
      <c r="O17" s="9"/>
      <c r="P17" s="9" t="s">
        <v>1051</v>
      </c>
      <c r="Q17" s="9"/>
      <c r="R17" s="9"/>
      <c r="S17" s="9" t="s">
        <v>1023</v>
      </c>
      <c r="T17" s="9" t="s">
        <v>1049</v>
      </c>
    </row>
    <row r="18" spans="1:20" ht="38.25" x14ac:dyDescent="0.25">
      <c r="A18" s="9">
        <v>16</v>
      </c>
      <c r="B18" s="9" t="s">
        <v>100</v>
      </c>
      <c r="C18" s="9" t="s">
        <v>101</v>
      </c>
      <c r="D18" s="9" t="s">
        <v>1056</v>
      </c>
      <c r="E18" s="9"/>
      <c r="F18" s="9"/>
      <c r="G18" s="9" t="s">
        <v>1046</v>
      </c>
      <c r="H18" s="9" t="s">
        <v>1047</v>
      </c>
      <c r="I18" s="9">
        <v>1.5E-3</v>
      </c>
      <c r="J18" s="9" t="s">
        <v>1020</v>
      </c>
      <c r="K18" s="9" t="s">
        <v>1021</v>
      </c>
      <c r="L18" s="9"/>
      <c r="M18" s="9"/>
      <c r="N18" s="9"/>
      <c r="O18" s="9"/>
      <c r="P18" s="9" t="s">
        <v>1051</v>
      </c>
      <c r="Q18" s="9"/>
      <c r="R18" s="9"/>
      <c r="S18" s="9" t="s">
        <v>1023</v>
      </c>
      <c r="T18" s="9" t="s">
        <v>1049</v>
      </c>
    </row>
    <row r="19" spans="1:20" ht="25.5" x14ac:dyDescent="0.25">
      <c r="A19" s="9">
        <v>17</v>
      </c>
      <c r="B19" s="9" t="s">
        <v>142</v>
      </c>
      <c r="C19" s="9" t="s">
        <v>143</v>
      </c>
      <c r="D19" s="9" t="s">
        <v>1057</v>
      </c>
      <c r="E19" s="9"/>
      <c r="F19" s="9"/>
      <c r="G19" s="9" t="s">
        <v>1058</v>
      </c>
      <c r="H19" s="9" t="s">
        <v>46</v>
      </c>
      <c r="I19" s="9">
        <v>2.3900000000000002E-3</v>
      </c>
      <c r="J19" s="9" t="s">
        <v>1020</v>
      </c>
      <c r="K19" s="9" t="s">
        <v>1021</v>
      </c>
      <c r="L19" s="9"/>
      <c r="M19" s="9"/>
      <c r="N19" s="9"/>
      <c r="O19" s="9"/>
      <c r="P19" s="9"/>
      <c r="Q19" s="9"/>
      <c r="R19" s="9"/>
      <c r="S19" s="9" t="s">
        <v>1023</v>
      </c>
      <c r="T19" s="9" t="s">
        <v>1024</v>
      </c>
    </row>
    <row r="20" spans="1:20" ht="25.5" x14ac:dyDescent="0.25">
      <c r="A20" s="9">
        <v>18</v>
      </c>
      <c r="B20" s="9" t="s">
        <v>63</v>
      </c>
      <c r="C20" s="9" t="s">
        <v>64</v>
      </c>
      <c r="D20" s="9" t="s">
        <v>66</v>
      </c>
      <c r="E20" s="9"/>
      <c r="F20" s="9"/>
      <c r="G20" s="9" t="s">
        <v>1036</v>
      </c>
      <c r="H20" s="9" t="s">
        <v>1019</v>
      </c>
      <c r="I20" s="9">
        <v>4.0800000000000003E-3</v>
      </c>
      <c r="J20" s="9" t="s">
        <v>1020</v>
      </c>
      <c r="K20" s="9" t="s">
        <v>1021</v>
      </c>
      <c r="L20" s="9"/>
      <c r="M20" s="9"/>
      <c r="N20" s="9"/>
      <c r="O20" s="9"/>
      <c r="P20" s="9" t="s">
        <v>1059</v>
      </c>
      <c r="Q20" s="9"/>
      <c r="R20" s="9"/>
      <c r="S20" s="9" t="s">
        <v>1023</v>
      </c>
      <c r="T20" s="9" t="s">
        <v>1024</v>
      </c>
    </row>
    <row r="21" spans="1:20" ht="38.25" x14ac:dyDescent="0.25">
      <c r="A21" s="9">
        <v>19</v>
      </c>
      <c r="B21" s="9" t="s">
        <v>100</v>
      </c>
      <c r="C21" s="9" t="s">
        <v>101</v>
      </c>
      <c r="D21" s="9" t="s">
        <v>1060</v>
      </c>
      <c r="E21" s="9"/>
      <c r="F21" s="9"/>
      <c r="G21" s="9" t="s">
        <v>1061</v>
      </c>
      <c r="H21" s="9" t="s">
        <v>1047</v>
      </c>
      <c r="I21" s="9">
        <v>5.2100000000000002E-3</v>
      </c>
      <c r="J21" s="9" t="s">
        <v>1020</v>
      </c>
      <c r="K21" s="9" t="s">
        <v>1021</v>
      </c>
      <c r="L21" s="9"/>
      <c r="M21" s="9"/>
      <c r="N21" s="9"/>
      <c r="O21" s="9"/>
      <c r="P21" s="9" t="s">
        <v>104</v>
      </c>
      <c r="Q21" s="9"/>
      <c r="R21" s="9"/>
      <c r="S21" s="9" t="s">
        <v>1023</v>
      </c>
      <c r="T21" s="9" t="s">
        <v>1049</v>
      </c>
    </row>
    <row r="22" spans="1:20" ht="25.5" x14ac:dyDescent="0.25">
      <c r="A22" s="9">
        <v>20</v>
      </c>
      <c r="B22" s="9" t="s">
        <v>100</v>
      </c>
      <c r="C22" s="9" t="s">
        <v>101</v>
      </c>
      <c r="D22" s="9" t="s">
        <v>1062</v>
      </c>
      <c r="E22" s="9"/>
      <c r="F22" s="9"/>
      <c r="G22" s="9" t="s">
        <v>1033</v>
      </c>
      <c r="H22" s="9" t="s">
        <v>1047</v>
      </c>
      <c r="I22" s="9">
        <v>4.1000000000000003E-3</v>
      </c>
      <c r="J22" s="9" t="s">
        <v>1020</v>
      </c>
      <c r="K22" s="9" t="s">
        <v>1021</v>
      </c>
      <c r="L22" s="9"/>
      <c r="M22" s="9"/>
      <c r="N22" s="9"/>
      <c r="O22" s="9"/>
      <c r="P22" s="9" t="s">
        <v>104</v>
      </c>
      <c r="Q22" s="9"/>
      <c r="R22" s="9"/>
      <c r="S22" s="9" t="s">
        <v>1023</v>
      </c>
      <c r="T22" s="9" t="s">
        <v>1049</v>
      </c>
    </row>
    <row r="23" spans="1:20" ht="25.5" x14ac:dyDescent="0.25">
      <c r="A23" s="9">
        <v>21</v>
      </c>
      <c r="B23" s="9" t="s">
        <v>100</v>
      </c>
      <c r="C23" s="9" t="s">
        <v>101</v>
      </c>
      <c r="D23" s="9" t="s">
        <v>1063</v>
      </c>
      <c r="E23" s="9"/>
      <c r="F23" s="9"/>
      <c r="G23" s="9" t="s">
        <v>1033</v>
      </c>
      <c r="H23" s="9" t="s">
        <v>1047</v>
      </c>
      <c r="I23" s="9">
        <v>4.1799999999999997E-3</v>
      </c>
      <c r="J23" s="9" t="s">
        <v>1020</v>
      </c>
      <c r="K23" s="9" t="s">
        <v>1021</v>
      </c>
      <c r="L23" s="9"/>
      <c r="M23" s="9"/>
      <c r="N23" s="9"/>
      <c r="O23" s="9"/>
      <c r="P23" s="9" t="s">
        <v>104</v>
      </c>
      <c r="Q23" s="9"/>
      <c r="R23" s="9"/>
      <c r="S23" s="9" t="s">
        <v>1023</v>
      </c>
      <c r="T23" s="9" t="s">
        <v>1049</v>
      </c>
    </row>
    <row r="24" spans="1:20" ht="25.5" x14ac:dyDescent="0.25">
      <c r="A24" s="9">
        <v>22</v>
      </c>
      <c r="B24" s="9" t="s">
        <v>100</v>
      </c>
      <c r="C24" s="9" t="s">
        <v>101</v>
      </c>
      <c r="D24" s="9" t="s">
        <v>1064</v>
      </c>
      <c r="E24" s="9"/>
      <c r="F24" s="9"/>
      <c r="G24" s="9" t="s">
        <v>1033</v>
      </c>
      <c r="H24" s="9" t="s">
        <v>1047</v>
      </c>
      <c r="I24" s="9">
        <v>4.2100000000000002E-3</v>
      </c>
      <c r="J24" s="9" t="s">
        <v>1020</v>
      </c>
      <c r="K24" s="9" t="s">
        <v>1021</v>
      </c>
      <c r="L24" s="9"/>
      <c r="M24" s="9"/>
      <c r="N24" s="9"/>
      <c r="O24" s="9"/>
      <c r="P24" s="9" t="s">
        <v>104</v>
      </c>
      <c r="Q24" s="9"/>
      <c r="R24" s="9"/>
      <c r="S24" s="9" t="s">
        <v>1023</v>
      </c>
      <c r="T24" s="9" t="s">
        <v>1049</v>
      </c>
    </row>
    <row r="25" spans="1:20" ht="25.5" x14ac:dyDescent="0.25">
      <c r="A25" s="9">
        <v>23</v>
      </c>
      <c r="B25" s="9" t="s">
        <v>100</v>
      </c>
      <c r="C25" s="9" t="s">
        <v>101</v>
      </c>
      <c r="D25" s="9" t="s">
        <v>1065</v>
      </c>
      <c r="E25" s="9"/>
      <c r="F25" s="9"/>
      <c r="G25" s="9" t="s">
        <v>1033</v>
      </c>
      <c r="H25" s="9" t="s">
        <v>1047</v>
      </c>
      <c r="I25" s="9">
        <v>4.1799999999999997E-3</v>
      </c>
      <c r="J25" s="9" t="s">
        <v>1020</v>
      </c>
      <c r="K25" s="9" t="s">
        <v>1021</v>
      </c>
      <c r="L25" s="9"/>
      <c r="M25" s="9"/>
      <c r="N25" s="9"/>
      <c r="O25" s="9"/>
      <c r="P25" s="9" t="s">
        <v>104</v>
      </c>
      <c r="Q25" s="9"/>
      <c r="R25" s="9"/>
      <c r="S25" s="9" t="s">
        <v>1023</v>
      </c>
      <c r="T25" s="9" t="s">
        <v>1049</v>
      </c>
    </row>
    <row r="26" spans="1:20" ht="25.5" x14ac:dyDescent="0.25">
      <c r="A26" s="9">
        <v>24</v>
      </c>
      <c r="B26" s="9" t="s">
        <v>100</v>
      </c>
      <c r="C26" s="9" t="s">
        <v>101</v>
      </c>
      <c r="D26" s="9" t="s">
        <v>1066</v>
      </c>
      <c r="E26" s="9"/>
      <c r="F26" s="9"/>
      <c r="G26" s="9" t="s">
        <v>1067</v>
      </c>
      <c r="H26" s="9" t="s">
        <v>1019</v>
      </c>
      <c r="I26" s="9">
        <v>1.7899999999999999E-3</v>
      </c>
      <c r="J26" s="9" t="s">
        <v>1020</v>
      </c>
      <c r="K26" s="9" t="s">
        <v>1021</v>
      </c>
      <c r="L26" s="9"/>
      <c r="M26" s="9"/>
      <c r="N26" s="9"/>
      <c r="O26" s="9"/>
      <c r="P26" s="9" t="s">
        <v>104</v>
      </c>
      <c r="Q26" s="9"/>
      <c r="R26" s="9"/>
      <c r="S26" s="9" t="s">
        <v>1023</v>
      </c>
      <c r="T26" s="9" t="s">
        <v>1049</v>
      </c>
    </row>
    <row r="27" spans="1:20" ht="25.5" x14ac:dyDescent="0.25">
      <c r="A27" s="9">
        <v>25</v>
      </c>
      <c r="B27" s="9" t="s">
        <v>100</v>
      </c>
      <c r="C27" s="9" t="s">
        <v>101</v>
      </c>
      <c r="D27" s="9" t="s">
        <v>1068</v>
      </c>
      <c r="E27" s="9"/>
      <c r="F27" s="9"/>
      <c r="G27" s="9" t="s">
        <v>1069</v>
      </c>
      <c r="H27" s="9" t="s">
        <v>1047</v>
      </c>
      <c r="I27" s="9">
        <v>4.45E-3</v>
      </c>
      <c r="J27" s="9" t="s">
        <v>1020</v>
      </c>
      <c r="K27" s="9" t="s">
        <v>1021</v>
      </c>
      <c r="L27" s="9"/>
      <c r="M27" s="9"/>
      <c r="N27" s="9"/>
      <c r="O27" s="9"/>
      <c r="P27" s="9" t="s">
        <v>104</v>
      </c>
      <c r="Q27" s="9"/>
      <c r="R27" s="9"/>
      <c r="S27" s="9" t="s">
        <v>1023</v>
      </c>
      <c r="T27" s="9" t="s">
        <v>1049</v>
      </c>
    </row>
    <row r="28" spans="1:20" ht="25.5" x14ac:dyDescent="0.25">
      <c r="A28" s="9">
        <v>26</v>
      </c>
      <c r="B28" s="9" t="s">
        <v>100</v>
      </c>
      <c r="C28" s="9" t="s">
        <v>101</v>
      </c>
      <c r="D28" s="9" t="s">
        <v>1070</v>
      </c>
      <c r="E28" s="9"/>
      <c r="F28" s="9">
        <v>7.5</v>
      </c>
      <c r="G28" s="9" t="s">
        <v>1071</v>
      </c>
      <c r="H28" s="9" t="s">
        <v>1047</v>
      </c>
      <c r="I28" s="9">
        <v>3.2499999999999999E-3</v>
      </c>
      <c r="J28" s="9" t="s">
        <v>1020</v>
      </c>
      <c r="K28" s="9" t="s">
        <v>1021</v>
      </c>
      <c r="L28" s="9"/>
      <c r="M28" s="9"/>
      <c r="N28" s="9"/>
      <c r="O28" s="9"/>
      <c r="P28" s="9" t="s">
        <v>104</v>
      </c>
      <c r="Q28" s="9"/>
      <c r="R28" s="9"/>
      <c r="S28" s="9" t="s">
        <v>1023</v>
      </c>
      <c r="T28" s="9" t="s">
        <v>1049</v>
      </c>
    </row>
    <row r="29" spans="1:20" ht="25.5" x14ac:dyDescent="0.25">
      <c r="A29" s="9">
        <v>27</v>
      </c>
      <c r="B29" s="9" t="s">
        <v>100</v>
      </c>
      <c r="C29" s="9" t="s">
        <v>101</v>
      </c>
      <c r="D29" s="9" t="s">
        <v>1072</v>
      </c>
      <c r="E29" s="9"/>
      <c r="F29" s="9"/>
      <c r="G29" s="9" t="s">
        <v>1033</v>
      </c>
      <c r="H29" s="9" t="s">
        <v>1047</v>
      </c>
      <c r="I29" s="9">
        <v>3.8500000000000001E-3</v>
      </c>
      <c r="J29" s="9" t="s">
        <v>1020</v>
      </c>
      <c r="K29" s="9" t="s">
        <v>1021</v>
      </c>
      <c r="L29" s="9"/>
      <c r="M29" s="9"/>
      <c r="N29" s="9"/>
      <c r="O29" s="9"/>
      <c r="P29" s="9" t="s">
        <v>104</v>
      </c>
      <c r="Q29" s="9"/>
      <c r="R29" s="9"/>
      <c r="S29" s="9" t="s">
        <v>1023</v>
      </c>
      <c r="T29" s="9" t="s">
        <v>1049</v>
      </c>
    </row>
    <row r="30" spans="1:20" ht="25.5" x14ac:dyDescent="0.25">
      <c r="A30" s="9">
        <v>28</v>
      </c>
      <c r="B30" s="9" t="s">
        <v>100</v>
      </c>
      <c r="C30" s="9" t="s">
        <v>101</v>
      </c>
      <c r="D30" s="9" t="s">
        <v>1073</v>
      </c>
      <c r="E30" s="9"/>
      <c r="F30" s="9"/>
      <c r="G30" s="9" t="s">
        <v>1033</v>
      </c>
      <c r="H30" s="9" t="s">
        <v>1047</v>
      </c>
      <c r="I30" s="9">
        <v>3.8500000000000001E-3</v>
      </c>
      <c r="J30" s="9" t="s">
        <v>1020</v>
      </c>
      <c r="K30" s="9" t="s">
        <v>1021</v>
      </c>
      <c r="L30" s="9"/>
      <c r="M30" s="9"/>
      <c r="N30" s="9"/>
      <c r="O30" s="9"/>
      <c r="P30" s="9" t="s">
        <v>104</v>
      </c>
      <c r="Q30" s="9"/>
      <c r="R30" s="9"/>
      <c r="S30" s="9" t="s">
        <v>1023</v>
      </c>
      <c r="T30" s="9" t="s">
        <v>1049</v>
      </c>
    </row>
    <row r="31" spans="1:20" ht="38.25" x14ac:dyDescent="0.25">
      <c r="A31" s="9">
        <v>29</v>
      </c>
      <c r="B31" s="9" t="s">
        <v>100</v>
      </c>
      <c r="C31" s="9" t="s">
        <v>101</v>
      </c>
      <c r="D31" s="9" t="s">
        <v>1074</v>
      </c>
      <c r="E31" s="9"/>
      <c r="F31" s="9"/>
      <c r="G31" s="9" t="s">
        <v>1075</v>
      </c>
      <c r="H31" s="9" t="s">
        <v>1047</v>
      </c>
      <c r="I31" s="9">
        <v>3.9300000000000003E-3</v>
      </c>
      <c r="J31" s="9" t="s">
        <v>1020</v>
      </c>
      <c r="K31" s="9" t="s">
        <v>1021</v>
      </c>
      <c r="L31" s="9"/>
      <c r="M31" s="9"/>
      <c r="N31" s="9"/>
      <c r="O31" s="9"/>
      <c r="P31" s="9" t="s">
        <v>104</v>
      </c>
      <c r="Q31" s="9"/>
      <c r="R31" s="9"/>
      <c r="S31" s="9" t="s">
        <v>1023</v>
      </c>
      <c r="T31" s="9" t="s">
        <v>1049</v>
      </c>
    </row>
    <row r="32" spans="1:20" ht="25.5" x14ac:dyDescent="0.25">
      <c r="A32" s="9">
        <v>30</v>
      </c>
      <c r="B32" s="9" t="s">
        <v>100</v>
      </c>
      <c r="C32" s="9" t="s">
        <v>101</v>
      </c>
      <c r="D32" s="9" t="s">
        <v>1076</v>
      </c>
      <c r="E32" s="9"/>
      <c r="F32" s="9"/>
      <c r="G32" s="9" t="s">
        <v>1033</v>
      </c>
      <c r="H32" s="9" t="s">
        <v>1047</v>
      </c>
      <c r="I32" s="9">
        <v>3.8500000000000001E-3</v>
      </c>
      <c r="J32" s="9" t="s">
        <v>1020</v>
      </c>
      <c r="K32" s="9" t="s">
        <v>1021</v>
      </c>
      <c r="L32" s="9"/>
      <c r="M32" s="9"/>
      <c r="N32" s="9"/>
      <c r="O32" s="9"/>
      <c r="P32" s="9" t="s">
        <v>104</v>
      </c>
      <c r="Q32" s="9"/>
      <c r="R32" s="9"/>
      <c r="S32" s="9" t="s">
        <v>1023</v>
      </c>
      <c r="T32" s="9" t="s">
        <v>1049</v>
      </c>
    </row>
    <row r="33" spans="1:20" ht="25.5" x14ac:dyDescent="0.25">
      <c r="A33" s="9">
        <v>31</v>
      </c>
      <c r="B33" s="9" t="s">
        <v>130</v>
      </c>
      <c r="C33" s="9" t="s">
        <v>131</v>
      </c>
      <c r="D33" s="9" t="s">
        <v>133</v>
      </c>
      <c r="E33" s="9"/>
      <c r="F33" s="9"/>
      <c r="G33" s="9" t="s">
        <v>1077</v>
      </c>
      <c r="H33" s="9" t="s">
        <v>1019</v>
      </c>
      <c r="I33" s="9">
        <v>4.0499999999999998E-3</v>
      </c>
      <c r="J33" s="9" t="s">
        <v>1020</v>
      </c>
      <c r="K33" s="9" t="s">
        <v>1021</v>
      </c>
      <c r="L33" s="9"/>
      <c r="M33" s="9"/>
      <c r="N33" s="9"/>
      <c r="O33" s="9"/>
      <c r="P33" s="9" t="s">
        <v>1078</v>
      </c>
      <c r="Q33" s="9"/>
      <c r="R33" s="9"/>
      <c r="S33" s="9" t="s">
        <v>1023</v>
      </c>
      <c r="T33" s="9" t="s">
        <v>1024</v>
      </c>
    </row>
    <row r="34" spans="1:20" ht="25.5" x14ac:dyDescent="0.25">
      <c r="A34" s="9">
        <v>32</v>
      </c>
      <c r="B34" s="9" t="s">
        <v>331</v>
      </c>
      <c r="C34" s="9" t="s">
        <v>332</v>
      </c>
      <c r="D34" s="9" t="s">
        <v>1079</v>
      </c>
      <c r="E34" s="9"/>
      <c r="F34" s="9"/>
      <c r="G34" s="9" t="s">
        <v>1080</v>
      </c>
      <c r="H34" s="9" t="s">
        <v>46</v>
      </c>
      <c r="I34" s="9"/>
      <c r="J34" s="9" t="s">
        <v>1020</v>
      </c>
      <c r="K34" s="9" t="s">
        <v>1021</v>
      </c>
      <c r="L34" s="9"/>
      <c r="M34" s="9"/>
      <c r="N34" s="9"/>
      <c r="O34" s="9"/>
      <c r="P34" s="9"/>
      <c r="Q34" s="9"/>
      <c r="R34" s="9"/>
      <c r="S34" s="9" t="s">
        <v>1023</v>
      </c>
      <c r="T34" s="9" t="s">
        <v>1024</v>
      </c>
    </row>
    <row r="35" spans="1:20" ht="25.5" x14ac:dyDescent="0.25">
      <c r="A35" s="9">
        <v>33</v>
      </c>
      <c r="B35" s="9" t="s">
        <v>471</v>
      </c>
      <c r="C35" s="9" t="s">
        <v>472</v>
      </c>
      <c r="D35" s="9" t="s">
        <v>1081</v>
      </c>
      <c r="E35" s="9"/>
      <c r="F35" s="9"/>
      <c r="G35" s="9" t="s">
        <v>1082</v>
      </c>
      <c r="H35" s="9" t="s">
        <v>46</v>
      </c>
      <c r="I35" s="9"/>
      <c r="J35" s="9" t="s">
        <v>1020</v>
      </c>
      <c r="K35" s="9" t="s">
        <v>1021</v>
      </c>
      <c r="L35" s="9"/>
      <c r="M35" s="9"/>
      <c r="N35" s="9"/>
      <c r="O35" s="9"/>
      <c r="P35" s="9"/>
      <c r="Q35" s="9"/>
      <c r="R35" s="9"/>
      <c r="S35" s="9" t="s">
        <v>1023</v>
      </c>
      <c r="T35" s="9" t="s">
        <v>1024</v>
      </c>
    </row>
    <row r="36" spans="1:20" ht="25.5" x14ac:dyDescent="0.25">
      <c r="A36" s="9">
        <v>34</v>
      </c>
      <c r="B36" s="9" t="s">
        <v>973</v>
      </c>
      <c r="C36" s="9" t="s">
        <v>974</v>
      </c>
      <c r="D36" s="9" t="s">
        <v>1083</v>
      </c>
      <c r="E36" s="9"/>
      <c r="F36" s="9"/>
      <c r="G36" s="9" t="s">
        <v>1084</v>
      </c>
      <c r="H36" s="9" t="s">
        <v>46</v>
      </c>
      <c r="I36" s="9"/>
      <c r="J36" s="9" t="s">
        <v>1020</v>
      </c>
      <c r="K36" s="9" t="s">
        <v>1021</v>
      </c>
      <c r="L36" s="9"/>
      <c r="M36" s="9"/>
      <c r="N36" s="9"/>
      <c r="O36" s="9"/>
      <c r="P36" s="9"/>
      <c r="Q36" s="9"/>
      <c r="R36" s="9"/>
      <c r="S36" s="9" t="s">
        <v>1023</v>
      </c>
      <c r="T36" s="9" t="s">
        <v>1024</v>
      </c>
    </row>
    <row r="37" spans="1:20" ht="25.5" x14ac:dyDescent="0.25">
      <c r="A37" s="9">
        <v>35</v>
      </c>
      <c r="B37" s="9" t="s">
        <v>973</v>
      </c>
      <c r="C37" s="9" t="s">
        <v>974</v>
      </c>
      <c r="D37" s="9" t="s">
        <v>1085</v>
      </c>
      <c r="E37" s="9"/>
      <c r="F37" s="9"/>
      <c r="G37" s="9" t="s">
        <v>1086</v>
      </c>
      <c r="H37" s="9" t="s">
        <v>46</v>
      </c>
      <c r="I37" s="9"/>
      <c r="J37" s="9" t="s">
        <v>1020</v>
      </c>
      <c r="K37" s="9" t="s">
        <v>1021</v>
      </c>
      <c r="L37" s="9"/>
      <c r="M37" s="9"/>
      <c r="N37" s="9"/>
      <c r="O37" s="9"/>
      <c r="P37" s="9"/>
      <c r="Q37" s="9"/>
      <c r="R37" s="9"/>
      <c r="S37" s="9" t="s">
        <v>1023</v>
      </c>
      <c r="T37" s="9" t="s">
        <v>1024</v>
      </c>
    </row>
    <row r="38" spans="1:20" ht="38.25" x14ac:dyDescent="0.25">
      <c r="A38" s="9">
        <v>36</v>
      </c>
      <c r="B38" s="9" t="s">
        <v>1087</v>
      </c>
      <c r="C38" s="9"/>
      <c r="D38" s="9" t="s">
        <v>1088</v>
      </c>
      <c r="E38" s="9"/>
      <c r="F38" s="9"/>
      <c r="G38" s="9" t="s">
        <v>1089</v>
      </c>
      <c r="H38" s="9" t="s">
        <v>46</v>
      </c>
      <c r="I38" s="9"/>
      <c r="J38" s="9" t="s">
        <v>1020</v>
      </c>
      <c r="K38" s="9" t="s">
        <v>1021</v>
      </c>
      <c r="L38" s="9"/>
      <c r="M38" s="9"/>
      <c r="N38" s="9"/>
      <c r="O38" s="9"/>
      <c r="P38" s="9" t="s">
        <v>1090</v>
      </c>
      <c r="Q38" s="9"/>
      <c r="R38" s="9"/>
      <c r="S38" s="9" t="s">
        <v>1023</v>
      </c>
      <c r="T38" s="9" t="s">
        <v>1024</v>
      </c>
    </row>
    <row r="39" spans="1:20" ht="38.25" x14ac:dyDescent="0.25">
      <c r="A39" s="9">
        <v>37</v>
      </c>
      <c r="B39" s="9" t="s">
        <v>471</v>
      </c>
      <c r="C39" s="9" t="s">
        <v>472</v>
      </c>
      <c r="D39" s="9" t="s">
        <v>1091</v>
      </c>
      <c r="E39" s="9"/>
      <c r="F39" s="9"/>
      <c r="G39" s="9" t="s">
        <v>1092</v>
      </c>
      <c r="H39" s="9" t="s">
        <v>46</v>
      </c>
      <c r="I39" s="9"/>
      <c r="J39" s="9" t="s">
        <v>1020</v>
      </c>
      <c r="K39" s="9" t="s">
        <v>1021</v>
      </c>
      <c r="L39" s="9"/>
      <c r="M39" s="9"/>
      <c r="N39" s="9"/>
      <c r="O39" s="9"/>
      <c r="P39" s="9"/>
      <c r="Q39" s="9"/>
      <c r="R39" s="9"/>
      <c r="S39" s="9" t="s">
        <v>1023</v>
      </c>
      <c r="T39" s="9" t="s">
        <v>1024</v>
      </c>
    </row>
    <row r="40" spans="1:20" ht="38.25" x14ac:dyDescent="0.25">
      <c r="A40" s="9">
        <v>38</v>
      </c>
      <c r="B40" s="9" t="s">
        <v>1093</v>
      </c>
      <c r="C40" s="9"/>
      <c r="D40" s="9" t="s">
        <v>1094</v>
      </c>
      <c r="E40" s="9"/>
      <c r="F40" s="9"/>
      <c r="G40" s="9" t="s">
        <v>1095</v>
      </c>
      <c r="H40" s="9" t="s">
        <v>46</v>
      </c>
      <c r="I40" s="9"/>
      <c r="J40" s="9" t="s">
        <v>1020</v>
      </c>
      <c r="K40" s="9" t="s">
        <v>1021</v>
      </c>
      <c r="L40" s="9"/>
      <c r="M40" s="9"/>
      <c r="N40" s="9"/>
      <c r="O40" s="9"/>
      <c r="P40" s="9"/>
      <c r="Q40" s="9"/>
      <c r="R40" s="9"/>
      <c r="S40" s="9" t="s">
        <v>1023</v>
      </c>
      <c r="T40" s="9" t="s">
        <v>1024</v>
      </c>
    </row>
    <row r="41" spans="1:20" ht="38.25" x14ac:dyDescent="0.25">
      <c r="A41" s="9">
        <v>39</v>
      </c>
      <c r="B41" s="9" t="s">
        <v>1093</v>
      </c>
      <c r="C41" s="9"/>
      <c r="D41" s="9" t="s">
        <v>1096</v>
      </c>
      <c r="E41" s="9"/>
      <c r="F41" s="9"/>
      <c r="G41" s="9" t="s">
        <v>1097</v>
      </c>
      <c r="H41" s="9" t="s">
        <v>46</v>
      </c>
      <c r="I41" s="9"/>
      <c r="J41" s="9" t="s">
        <v>1020</v>
      </c>
      <c r="K41" s="9" t="s">
        <v>1021</v>
      </c>
      <c r="L41" s="9"/>
      <c r="M41" s="9"/>
      <c r="N41" s="9"/>
      <c r="O41" s="9"/>
      <c r="P41" s="9"/>
      <c r="Q41" s="9"/>
      <c r="R41" s="9"/>
      <c r="S41" s="9" t="s">
        <v>1023</v>
      </c>
      <c r="T41" s="9" t="s">
        <v>1024</v>
      </c>
    </row>
    <row r="42" spans="1:20" ht="38.25" x14ac:dyDescent="0.25">
      <c r="A42" s="9">
        <v>40</v>
      </c>
      <c r="B42" s="9" t="s">
        <v>1093</v>
      </c>
      <c r="C42" s="9"/>
      <c r="D42" s="9" t="s">
        <v>1098</v>
      </c>
      <c r="E42" s="9"/>
      <c r="F42" s="9"/>
      <c r="G42" s="9" t="s">
        <v>1097</v>
      </c>
      <c r="H42" s="9" t="s">
        <v>46</v>
      </c>
      <c r="I42" s="9"/>
      <c r="J42" s="9" t="s">
        <v>1020</v>
      </c>
      <c r="K42" s="9" t="s">
        <v>1021</v>
      </c>
      <c r="L42" s="9"/>
      <c r="M42" s="9"/>
      <c r="N42" s="9"/>
      <c r="O42" s="9"/>
      <c r="P42" s="9"/>
      <c r="Q42" s="9"/>
      <c r="R42" s="9"/>
      <c r="S42" s="9" t="s">
        <v>1023</v>
      </c>
      <c r="T42" s="9" t="s">
        <v>1024</v>
      </c>
    </row>
    <row r="43" spans="1:20" ht="25.5" x14ac:dyDescent="0.25">
      <c r="A43" s="9">
        <v>41</v>
      </c>
      <c r="B43" s="9" t="s">
        <v>801</v>
      </c>
      <c r="C43" s="9" t="s">
        <v>802</v>
      </c>
      <c r="D43" s="9" t="s">
        <v>1099</v>
      </c>
      <c r="E43" s="9"/>
      <c r="F43" s="9"/>
      <c r="G43" s="9" t="s">
        <v>1053</v>
      </c>
      <c r="H43" s="9" t="s">
        <v>46</v>
      </c>
      <c r="I43" s="9"/>
      <c r="J43" s="9" t="s">
        <v>1020</v>
      </c>
      <c r="K43" s="9" t="s">
        <v>1021</v>
      </c>
      <c r="L43" s="9"/>
      <c r="M43" s="9"/>
      <c r="N43" s="9"/>
      <c r="O43" s="9"/>
      <c r="P43" s="9" t="s">
        <v>1100</v>
      </c>
      <c r="Q43" s="9"/>
      <c r="R43" s="9"/>
      <c r="S43" s="9" t="s">
        <v>1023</v>
      </c>
      <c r="T43" s="9" t="s">
        <v>1024</v>
      </c>
    </row>
    <row r="44" spans="1:20" ht="38.25" x14ac:dyDescent="0.25">
      <c r="A44" s="9">
        <v>42</v>
      </c>
      <c r="B44" s="9" t="s">
        <v>331</v>
      </c>
      <c r="C44" s="9" t="s">
        <v>332</v>
      </c>
      <c r="D44" s="9" t="s">
        <v>1101</v>
      </c>
      <c r="E44" s="9"/>
      <c r="F44" s="9"/>
      <c r="G44" s="9" t="s">
        <v>1102</v>
      </c>
      <c r="H44" s="9" t="s">
        <v>46</v>
      </c>
      <c r="I44" s="9"/>
      <c r="J44" s="9" t="s">
        <v>1020</v>
      </c>
      <c r="K44" s="9" t="s">
        <v>1021</v>
      </c>
      <c r="L44" s="9"/>
      <c r="M44" s="9"/>
      <c r="N44" s="9"/>
      <c r="O44" s="9"/>
      <c r="P44" s="9" t="s">
        <v>1103</v>
      </c>
      <c r="Q44" s="9"/>
      <c r="R44" s="9"/>
      <c r="S44" s="9" t="s">
        <v>1023</v>
      </c>
      <c r="T44" s="9" t="s">
        <v>1024</v>
      </c>
    </row>
    <row r="45" spans="1:20" ht="38.25" x14ac:dyDescent="0.25">
      <c r="A45" s="9">
        <v>43</v>
      </c>
      <c r="B45" s="9" t="s">
        <v>1093</v>
      </c>
      <c r="C45" s="9"/>
      <c r="D45" s="9" t="s">
        <v>1104</v>
      </c>
      <c r="E45" s="9"/>
      <c r="F45" s="9"/>
      <c r="G45" s="9" t="s">
        <v>1105</v>
      </c>
      <c r="H45" s="9" t="s">
        <v>46</v>
      </c>
      <c r="I45" s="9"/>
      <c r="J45" s="9" t="s">
        <v>1020</v>
      </c>
      <c r="K45" s="9" t="s">
        <v>1021</v>
      </c>
      <c r="L45" s="9"/>
      <c r="M45" s="9"/>
      <c r="N45" s="9"/>
      <c r="O45" s="9"/>
      <c r="P45" s="9"/>
      <c r="Q45" s="9"/>
      <c r="R45" s="9"/>
      <c r="S45" s="9" t="s">
        <v>1023</v>
      </c>
      <c r="T45" s="9" t="s">
        <v>1024</v>
      </c>
    </row>
    <row r="46" spans="1:20" ht="140.25" x14ac:dyDescent="0.25">
      <c r="A46" s="9">
        <v>44</v>
      </c>
      <c r="B46" s="9" t="s">
        <v>388</v>
      </c>
      <c r="C46" s="9" t="s">
        <v>389</v>
      </c>
      <c r="D46" s="9" t="s">
        <v>1106</v>
      </c>
      <c r="E46" s="9"/>
      <c r="F46" s="9"/>
      <c r="G46" s="9" t="s">
        <v>1107</v>
      </c>
      <c r="H46" s="9" t="s">
        <v>46</v>
      </c>
      <c r="I46" s="9"/>
      <c r="J46" s="9" t="s">
        <v>1020</v>
      </c>
      <c r="K46" s="9" t="s">
        <v>1021</v>
      </c>
      <c r="L46" s="9"/>
      <c r="M46" s="9"/>
      <c r="N46" s="9"/>
      <c r="O46" s="9"/>
      <c r="P46" s="9" t="s">
        <v>1108</v>
      </c>
      <c r="Q46" s="9"/>
      <c r="R46" s="9"/>
      <c r="S46" s="9" t="s">
        <v>1023</v>
      </c>
      <c r="T46" s="9" t="s">
        <v>1024</v>
      </c>
    </row>
    <row r="47" spans="1:20" ht="38.25" x14ac:dyDescent="0.25">
      <c r="A47" s="9">
        <v>45</v>
      </c>
      <c r="B47" s="9" t="s">
        <v>1093</v>
      </c>
      <c r="C47" s="9"/>
      <c r="D47" s="9" t="s">
        <v>1109</v>
      </c>
      <c r="E47" s="9"/>
      <c r="F47" s="9"/>
      <c r="G47" s="9" t="s">
        <v>1110</v>
      </c>
      <c r="H47" s="9" t="s">
        <v>46</v>
      </c>
      <c r="I47" s="9"/>
      <c r="J47" s="9" t="s">
        <v>1020</v>
      </c>
      <c r="K47" s="9" t="s">
        <v>1021</v>
      </c>
      <c r="L47" s="9"/>
      <c r="M47" s="9"/>
      <c r="N47" s="9"/>
      <c r="O47" s="9"/>
      <c r="P47" s="9"/>
      <c r="Q47" s="9"/>
      <c r="R47" s="9"/>
      <c r="S47" s="9" t="s">
        <v>1023</v>
      </c>
      <c r="T47" s="9" t="s">
        <v>1024</v>
      </c>
    </row>
    <row r="48" spans="1:20" ht="38.25" x14ac:dyDescent="0.25">
      <c r="A48" s="9">
        <v>46</v>
      </c>
      <c r="B48" s="9" t="s">
        <v>1093</v>
      </c>
      <c r="C48" s="9"/>
      <c r="D48" s="9" t="s">
        <v>1111</v>
      </c>
      <c r="E48" s="9"/>
      <c r="F48" s="9"/>
      <c r="G48" s="9" t="s">
        <v>1112</v>
      </c>
      <c r="H48" s="9" t="s">
        <v>46</v>
      </c>
      <c r="I48" s="9"/>
      <c r="J48" s="9" t="s">
        <v>1020</v>
      </c>
      <c r="K48" s="9" t="s">
        <v>1021</v>
      </c>
      <c r="L48" s="9"/>
      <c r="M48" s="9"/>
      <c r="N48" s="9"/>
      <c r="O48" s="9"/>
      <c r="P48" s="9"/>
      <c r="Q48" s="9"/>
      <c r="R48" s="9"/>
      <c r="S48" s="9" t="s">
        <v>1023</v>
      </c>
      <c r="T48" s="9" t="s">
        <v>1024</v>
      </c>
    </row>
    <row r="49" spans="1:20" ht="38.25" x14ac:dyDescent="0.25">
      <c r="A49" s="9">
        <v>47</v>
      </c>
      <c r="B49" s="9" t="s">
        <v>704</v>
      </c>
      <c r="C49" s="9" t="s">
        <v>705</v>
      </c>
      <c r="D49" s="9" t="s">
        <v>1113</v>
      </c>
      <c r="E49" s="9"/>
      <c r="F49" s="9"/>
      <c r="G49" s="9" t="s">
        <v>1114</v>
      </c>
      <c r="H49" s="9" t="s">
        <v>46</v>
      </c>
      <c r="I49" s="9"/>
      <c r="J49" s="9" t="s">
        <v>1020</v>
      </c>
      <c r="K49" s="9" t="s">
        <v>1021</v>
      </c>
      <c r="L49" s="9"/>
      <c r="M49" s="9"/>
      <c r="N49" s="9"/>
      <c r="O49" s="9"/>
      <c r="P49" s="9"/>
      <c r="Q49" s="9"/>
      <c r="R49" s="9"/>
      <c r="S49" s="9" t="s">
        <v>1023</v>
      </c>
      <c r="T49" s="9" t="s">
        <v>1024</v>
      </c>
    </row>
    <row r="50" spans="1:20" ht="127.5" x14ac:dyDescent="0.25">
      <c r="A50" s="9">
        <v>48</v>
      </c>
      <c r="B50" s="9" t="s">
        <v>801</v>
      </c>
      <c r="C50" s="9" t="s">
        <v>802</v>
      </c>
      <c r="D50" s="9" t="s">
        <v>1115</v>
      </c>
      <c r="E50" s="9"/>
      <c r="F50" s="9"/>
      <c r="G50" s="9" t="s">
        <v>1116</v>
      </c>
      <c r="H50" s="9" t="s">
        <v>46</v>
      </c>
      <c r="I50" s="9"/>
      <c r="J50" s="9" t="s">
        <v>1020</v>
      </c>
      <c r="K50" s="9" t="s">
        <v>1021</v>
      </c>
      <c r="L50" s="9"/>
      <c r="M50" s="9"/>
      <c r="N50" s="9"/>
      <c r="O50" s="9"/>
      <c r="P50" s="9" t="s">
        <v>1117</v>
      </c>
      <c r="Q50" s="9"/>
      <c r="R50" s="9"/>
      <c r="S50" s="9" t="s">
        <v>1023</v>
      </c>
      <c r="T50" s="9" t="s">
        <v>1024</v>
      </c>
    </row>
    <row r="51" spans="1:20" ht="127.5" x14ac:dyDescent="0.25">
      <c r="A51" s="9">
        <v>49</v>
      </c>
      <c r="B51" s="9" t="s">
        <v>801</v>
      </c>
      <c r="C51" s="9" t="s">
        <v>802</v>
      </c>
      <c r="D51" s="9" t="s">
        <v>1118</v>
      </c>
      <c r="E51" s="9"/>
      <c r="F51" s="9"/>
      <c r="G51" s="9" t="s">
        <v>1119</v>
      </c>
      <c r="H51" s="9" t="s">
        <v>46</v>
      </c>
      <c r="I51" s="9"/>
      <c r="J51" s="9" t="s">
        <v>1020</v>
      </c>
      <c r="K51" s="9" t="s">
        <v>1021</v>
      </c>
      <c r="L51" s="9"/>
      <c r="M51" s="9"/>
      <c r="N51" s="9"/>
      <c r="O51" s="9"/>
      <c r="P51" s="9" t="s">
        <v>1117</v>
      </c>
      <c r="Q51" s="9"/>
      <c r="R51" s="9"/>
      <c r="S51" s="9" t="s">
        <v>1023</v>
      </c>
      <c r="T51" s="9" t="s">
        <v>1024</v>
      </c>
    </row>
    <row r="52" spans="1:20" ht="38.25" x14ac:dyDescent="0.25">
      <c r="A52" s="9">
        <v>50</v>
      </c>
      <c r="B52" s="9" t="s">
        <v>951</v>
      </c>
      <c r="C52" s="9" t="s">
        <v>952</v>
      </c>
      <c r="D52" s="9" t="s">
        <v>1120</v>
      </c>
      <c r="E52" s="9"/>
      <c r="F52" s="9"/>
      <c r="G52" s="9" t="s">
        <v>1121</v>
      </c>
      <c r="H52" s="9" t="s">
        <v>46</v>
      </c>
      <c r="I52" s="9"/>
      <c r="J52" s="9" t="s">
        <v>1020</v>
      </c>
      <c r="K52" s="9" t="s">
        <v>1021</v>
      </c>
      <c r="L52" s="9"/>
      <c r="M52" s="9"/>
      <c r="N52" s="9"/>
      <c r="O52" s="9"/>
      <c r="P52" s="9" t="s">
        <v>1122</v>
      </c>
      <c r="Q52" s="9"/>
      <c r="R52" s="9"/>
      <c r="S52" s="9" t="s">
        <v>1023</v>
      </c>
      <c r="T52" s="9" t="s">
        <v>1024</v>
      </c>
    </row>
    <row r="53" spans="1:20" ht="25.5" x14ac:dyDescent="0.25">
      <c r="A53" s="9">
        <v>51</v>
      </c>
      <c r="B53" s="9" t="s">
        <v>388</v>
      </c>
      <c r="C53" s="9" t="s">
        <v>389</v>
      </c>
      <c r="D53" s="9" t="s">
        <v>1123</v>
      </c>
      <c r="E53" s="9"/>
      <c r="F53" s="9"/>
      <c r="G53" s="9"/>
      <c r="H53" s="9" t="s">
        <v>46</v>
      </c>
      <c r="I53" s="9"/>
      <c r="J53" s="9" t="s">
        <v>1020</v>
      </c>
      <c r="K53" s="9" t="s">
        <v>1021</v>
      </c>
      <c r="L53" s="9"/>
      <c r="M53" s="9"/>
      <c r="N53" s="9"/>
      <c r="O53" s="9"/>
      <c r="P53" s="9"/>
      <c r="Q53" s="9"/>
      <c r="R53" s="9"/>
      <c r="S53" s="9" t="s">
        <v>1023</v>
      </c>
      <c r="T53" s="9" t="s">
        <v>1024</v>
      </c>
    </row>
    <row r="54" spans="1:20" ht="140.25" x14ac:dyDescent="0.25">
      <c r="A54" s="9">
        <v>52</v>
      </c>
      <c r="B54" s="9" t="s">
        <v>973</v>
      </c>
      <c r="C54" s="9" t="s">
        <v>974</v>
      </c>
      <c r="D54" s="9" t="s">
        <v>1124</v>
      </c>
      <c r="E54" s="9"/>
      <c r="F54" s="9"/>
      <c r="G54" s="9" t="s">
        <v>1125</v>
      </c>
      <c r="H54" s="9" t="s">
        <v>46</v>
      </c>
      <c r="I54" s="9"/>
      <c r="J54" s="9" t="s">
        <v>1020</v>
      </c>
      <c r="K54" s="9" t="s">
        <v>1021</v>
      </c>
      <c r="L54" s="9"/>
      <c r="M54" s="9"/>
      <c r="N54" s="9"/>
      <c r="O54" s="9"/>
      <c r="P54" s="9" t="s">
        <v>1126</v>
      </c>
      <c r="Q54" s="9"/>
      <c r="R54" s="9"/>
      <c r="S54" s="9" t="s">
        <v>1023</v>
      </c>
      <c r="T54" s="9" t="s">
        <v>1024</v>
      </c>
    </row>
    <row r="55" spans="1:20" ht="38.25" x14ac:dyDescent="0.25">
      <c r="A55" s="9">
        <v>53</v>
      </c>
      <c r="B55" s="9" t="s">
        <v>1093</v>
      </c>
      <c r="C55" s="9"/>
      <c r="D55" s="9" t="s">
        <v>1127</v>
      </c>
      <c r="E55" s="9"/>
      <c r="F55" s="9"/>
      <c r="G55" s="9" t="s">
        <v>1075</v>
      </c>
      <c r="H55" s="9" t="s">
        <v>46</v>
      </c>
      <c r="I55" s="9"/>
      <c r="J55" s="9" t="s">
        <v>1020</v>
      </c>
      <c r="K55" s="9" t="s">
        <v>1021</v>
      </c>
      <c r="L55" s="9"/>
      <c r="M55" s="9"/>
      <c r="N55" s="9"/>
      <c r="O55" s="9"/>
      <c r="P55" s="9"/>
      <c r="Q55" s="9"/>
      <c r="R55" s="9"/>
      <c r="S55" s="9" t="s">
        <v>1023</v>
      </c>
      <c r="T55" s="9" t="s">
        <v>1024</v>
      </c>
    </row>
    <row r="56" spans="1:20" ht="38.25" x14ac:dyDescent="0.25">
      <c r="A56" s="9">
        <v>54</v>
      </c>
      <c r="B56" s="9" t="s">
        <v>1093</v>
      </c>
      <c r="C56" s="9"/>
      <c r="D56" s="9" t="s">
        <v>1128</v>
      </c>
      <c r="E56" s="9"/>
      <c r="F56" s="9"/>
      <c r="G56" s="9" t="s">
        <v>1129</v>
      </c>
      <c r="H56" s="9" t="s">
        <v>46</v>
      </c>
      <c r="I56" s="9"/>
      <c r="J56" s="9" t="s">
        <v>1020</v>
      </c>
      <c r="K56" s="9" t="s">
        <v>1021</v>
      </c>
      <c r="L56" s="9"/>
      <c r="M56" s="9"/>
      <c r="N56" s="9"/>
      <c r="O56" s="9"/>
      <c r="P56" s="9"/>
      <c r="Q56" s="9"/>
      <c r="R56" s="9"/>
      <c r="S56" s="9" t="s">
        <v>1023</v>
      </c>
      <c r="T56" s="9" t="s">
        <v>1024</v>
      </c>
    </row>
    <row r="57" spans="1:20" ht="25.5" x14ac:dyDescent="0.25">
      <c r="A57" s="9">
        <v>55</v>
      </c>
      <c r="B57" s="9" t="s">
        <v>801</v>
      </c>
      <c r="C57" s="9" t="s">
        <v>802</v>
      </c>
      <c r="D57" s="9" t="s">
        <v>1130</v>
      </c>
      <c r="E57" s="9"/>
      <c r="F57" s="9"/>
      <c r="G57" s="9" t="s">
        <v>1131</v>
      </c>
      <c r="H57" s="9" t="s">
        <v>46</v>
      </c>
      <c r="I57" s="9"/>
      <c r="J57" s="9" t="s">
        <v>1020</v>
      </c>
      <c r="K57" s="9" t="s">
        <v>1021</v>
      </c>
      <c r="L57" s="9"/>
      <c r="M57" s="9"/>
      <c r="N57" s="9"/>
      <c r="O57" s="9"/>
      <c r="P57" s="9"/>
      <c r="Q57" s="9"/>
      <c r="R57" s="9"/>
      <c r="S57" s="9" t="s">
        <v>1023</v>
      </c>
      <c r="T57" s="9" t="s">
        <v>1024</v>
      </c>
    </row>
    <row r="58" spans="1:20" ht="38.25" x14ac:dyDescent="0.25">
      <c r="A58" s="9">
        <v>56</v>
      </c>
      <c r="B58" s="9" t="s">
        <v>1093</v>
      </c>
      <c r="C58" s="9"/>
      <c r="D58" s="9" t="s">
        <v>1132</v>
      </c>
      <c r="E58" s="9"/>
      <c r="F58" s="9"/>
      <c r="G58" s="9" t="s">
        <v>1133</v>
      </c>
      <c r="H58" s="9" t="s">
        <v>46</v>
      </c>
      <c r="I58" s="9"/>
      <c r="J58" s="9" t="s">
        <v>1020</v>
      </c>
      <c r="K58" s="9" t="s">
        <v>1021</v>
      </c>
      <c r="L58" s="9"/>
      <c r="M58" s="9"/>
      <c r="N58" s="9"/>
      <c r="O58" s="9"/>
      <c r="P58" s="9"/>
      <c r="Q58" s="9"/>
      <c r="R58" s="9"/>
      <c r="S58" s="9" t="s">
        <v>1023</v>
      </c>
      <c r="T58" s="9" t="s">
        <v>1024</v>
      </c>
    </row>
    <row r="59" spans="1:20" ht="38.25" x14ac:dyDescent="0.25">
      <c r="A59" s="9">
        <v>57</v>
      </c>
      <c r="B59" s="9" t="s">
        <v>973</v>
      </c>
      <c r="C59" s="9" t="s">
        <v>974</v>
      </c>
      <c r="D59" s="9" t="s">
        <v>1134</v>
      </c>
      <c r="E59" s="9"/>
      <c r="F59" s="9"/>
      <c r="G59" s="9" t="s">
        <v>1135</v>
      </c>
      <c r="H59" s="9" t="s">
        <v>46</v>
      </c>
      <c r="I59" s="9"/>
      <c r="J59" s="9" t="s">
        <v>1020</v>
      </c>
      <c r="K59" s="9" t="s">
        <v>1021</v>
      </c>
      <c r="L59" s="9"/>
      <c r="M59" s="9"/>
      <c r="N59" s="9"/>
      <c r="O59" s="9"/>
      <c r="P59" s="9"/>
      <c r="Q59" s="9"/>
      <c r="R59" s="9"/>
      <c r="S59" s="9" t="s">
        <v>1023</v>
      </c>
      <c r="T59" s="9" t="s">
        <v>1024</v>
      </c>
    </row>
    <row r="60" spans="1:20" ht="38.25" x14ac:dyDescent="0.25">
      <c r="A60" s="9">
        <v>58</v>
      </c>
      <c r="B60" s="9" t="s">
        <v>1093</v>
      </c>
      <c r="C60" s="9"/>
      <c r="D60" s="9" t="s">
        <v>1136</v>
      </c>
      <c r="E60" s="9"/>
      <c r="F60" s="9"/>
      <c r="G60" s="9" t="s">
        <v>1137</v>
      </c>
      <c r="H60" s="9" t="s">
        <v>46</v>
      </c>
      <c r="I60" s="9"/>
      <c r="J60" s="9" t="s">
        <v>1020</v>
      </c>
      <c r="K60" s="9" t="s">
        <v>1021</v>
      </c>
      <c r="L60" s="9"/>
      <c r="M60" s="9"/>
      <c r="N60" s="9"/>
      <c r="O60" s="9"/>
      <c r="P60" s="9"/>
      <c r="Q60" s="9"/>
      <c r="R60" s="9"/>
      <c r="S60" s="9" t="s">
        <v>1023</v>
      </c>
      <c r="T60" s="9" t="s">
        <v>1024</v>
      </c>
    </row>
    <row r="61" spans="1:20" ht="25.5" x14ac:dyDescent="0.25">
      <c r="A61" s="9">
        <v>59</v>
      </c>
      <c r="B61" s="9" t="s">
        <v>901</v>
      </c>
      <c r="C61" s="9" t="s">
        <v>902</v>
      </c>
      <c r="D61" s="9" t="s">
        <v>1138</v>
      </c>
      <c r="E61" s="9"/>
      <c r="F61" s="9"/>
      <c r="G61" s="9" t="s">
        <v>1139</v>
      </c>
      <c r="H61" s="9" t="s">
        <v>46</v>
      </c>
      <c r="I61" s="9"/>
      <c r="J61" s="9" t="s">
        <v>1020</v>
      </c>
      <c r="K61" s="9" t="s">
        <v>1021</v>
      </c>
      <c r="L61" s="9"/>
      <c r="M61" s="9"/>
      <c r="N61" s="9"/>
      <c r="O61" s="9"/>
      <c r="P61" s="9"/>
      <c r="Q61" s="9"/>
      <c r="R61" s="9"/>
      <c r="S61" s="9" t="s">
        <v>1023</v>
      </c>
      <c r="T61" s="9" t="s">
        <v>1024</v>
      </c>
    </row>
    <row r="62" spans="1:20" ht="38.25" x14ac:dyDescent="0.25">
      <c r="A62" s="9">
        <v>60</v>
      </c>
      <c r="B62" s="9" t="s">
        <v>1093</v>
      </c>
      <c r="C62" s="9"/>
      <c r="D62" s="9" t="s">
        <v>1140</v>
      </c>
      <c r="E62" s="9"/>
      <c r="F62" s="9"/>
      <c r="G62" s="9" t="s">
        <v>1141</v>
      </c>
      <c r="H62" s="9" t="s">
        <v>46</v>
      </c>
      <c r="I62" s="9"/>
      <c r="J62" s="9" t="s">
        <v>1020</v>
      </c>
      <c r="K62" s="9" t="s">
        <v>1021</v>
      </c>
      <c r="L62" s="9"/>
      <c r="M62" s="9"/>
      <c r="N62" s="9"/>
      <c r="O62" s="9"/>
      <c r="P62" s="9"/>
      <c r="Q62" s="9"/>
      <c r="R62" s="9"/>
      <c r="S62" s="9" t="s">
        <v>1023</v>
      </c>
      <c r="T62" s="9" t="s">
        <v>1024</v>
      </c>
    </row>
    <row r="63" spans="1:20" ht="25.5" x14ac:dyDescent="0.25">
      <c r="A63" s="9">
        <v>61</v>
      </c>
      <c r="B63" s="9" t="s">
        <v>901</v>
      </c>
      <c r="C63" s="9" t="s">
        <v>902</v>
      </c>
      <c r="D63" s="9" t="s">
        <v>1142</v>
      </c>
      <c r="E63" s="9"/>
      <c r="F63" s="9"/>
      <c r="G63" s="9" t="s">
        <v>1143</v>
      </c>
      <c r="H63" s="9" t="s">
        <v>46</v>
      </c>
      <c r="I63" s="9"/>
      <c r="J63" s="9" t="s">
        <v>1020</v>
      </c>
      <c r="K63" s="9" t="s">
        <v>1021</v>
      </c>
      <c r="L63" s="9"/>
      <c r="M63" s="9"/>
      <c r="N63" s="9"/>
      <c r="O63" s="9"/>
      <c r="P63" s="9"/>
      <c r="Q63" s="9"/>
      <c r="R63" s="9"/>
      <c r="S63" s="9" t="s">
        <v>1023</v>
      </c>
      <c r="T63" s="9" t="s">
        <v>1024</v>
      </c>
    </row>
    <row r="64" spans="1:20" ht="25.5" x14ac:dyDescent="0.25">
      <c r="A64" s="9">
        <v>62</v>
      </c>
      <c r="B64" s="9" t="s">
        <v>388</v>
      </c>
      <c r="C64" s="9" t="s">
        <v>389</v>
      </c>
      <c r="D64" s="9" t="s">
        <v>1144</v>
      </c>
      <c r="E64" s="9"/>
      <c r="F64" s="9"/>
      <c r="G64" s="9"/>
      <c r="H64" s="9" t="s">
        <v>46</v>
      </c>
      <c r="I64" s="9"/>
      <c r="J64" s="9" t="s">
        <v>1020</v>
      </c>
      <c r="K64" s="9" t="s">
        <v>1021</v>
      </c>
      <c r="L64" s="9"/>
      <c r="M64" s="9"/>
      <c r="N64" s="9"/>
      <c r="O64" s="9"/>
      <c r="P64" s="9"/>
      <c r="Q64" s="9"/>
      <c r="R64" s="9"/>
      <c r="S64" s="9" t="s">
        <v>1023</v>
      </c>
      <c r="T64" s="9" t="s">
        <v>1024</v>
      </c>
    </row>
    <row r="65" spans="1:20" ht="25.5" x14ac:dyDescent="0.25">
      <c r="A65" s="9">
        <v>63</v>
      </c>
      <c r="B65" s="9" t="s">
        <v>801</v>
      </c>
      <c r="C65" s="9" t="s">
        <v>802</v>
      </c>
      <c r="D65" s="9" t="s">
        <v>1145</v>
      </c>
      <c r="E65" s="9"/>
      <c r="F65" s="9"/>
      <c r="G65" s="9" t="s">
        <v>1036</v>
      </c>
      <c r="H65" s="9" t="s">
        <v>46</v>
      </c>
      <c r="I65" s="9"/>
      <c r="J65" s="9" t="s">
        <v>1020</v>
      </c>
      <c r="K65" s="9" t="s">
        <v>1021</v>
      </c>
      <c r="L65" s="9"/>
      <c r="M65" s="9"/>
      <c r="N65" s="9"/>
      <c r="O65" s="9"/>
      <c r="P65" s="9"/>
      <c r="Q65" s="9"/>
      <c r="R65" s="9"/>
      <c r="S65" s="9" t="s">
        <v>1023</v>
      </c>
      <c r="T65" s="9" t="s">
        <v>1024</v>
      </c>
    </row>
    <row r="66" spans="1:20" ht="38.25" x14ac:dyDescent="0.25">
      <c r="A66" s="9">
        <v>64</v>
      </c>
      <c r="B66" s="9" t="s">
        <v>1093</v>
      </c>
      <c r="C66" s="9"/>
      <c r="D66" s="9" t="s">
        <v>1146</v>
      </c>
      <c r="E66" s="9"/>
      <c r="F66" s="9"/>
      <c r="G66" s="9" t="s">
        <v>1147</v>
      </c>
      <c r="H66" s="9" t="s">
        <v>46</v>
      </c>
      <c r="I66" s="9"/>
      <c r="J66" s="9" t="s">
        <v>1020</v>
      </c>
      <c r="K66" s="9" t="s">
        <v>1021</v>
      </c>
      <c r="L66" s="9"/>
      <c r="M66" s="9"/>
      <c r="N66" s="9"/>
      <c r="O66" s="9"/>
      <c r="P66" s="9"/>
      <c r="Q66" s="9"/>
      <c r="R66" s="9"/>
      <c r="S66" s="9" t="s">
        <v>1023</v>
      </c>
      <c r="T66" s="9" t="s">
        <v>1024</v>
      </c>
    </row>
    <row r="67" spans="1:20" ht="25.5" x14ac:dyDescent="0.25">
      <c r="A67" s="9">
        <v>65</v>
      </c>
      <c r="B67" s="9" t="s">
        <v>388</v>
      </c>
      <c r="C67" s="9" t="s">
        <v>389</v>
      </c>
      <c r="D67" s="9" t="s">
        <v>1148</v>
      </c>
      <c r="E67" s="9"/>
      <c r="F67" s="9"/>
      <c r="G67" s="9"/>
      <c r="H67" s="9" t="s">
        <v>46</v>
      </c>
      <c r="I67" s="9"/>
      <c r="J67" s="9" t="s">
        <v>1020</v>
      </c>
      <c r="K67" s="9" t="s">
        <v>1021</v>
      </c>
      <c r="L67" s="9"/>
      <c r="M67" s="9"/>
      <c r="N67" s="9"/>
      <c r="O67" s="9"/>
      <c r="P67" s="9"/>
      <c r="Q67" s="9"/>
      <c r="R67" s="9"/>
      <c r="S67" s="9" t="s">
        <v>1023</v>
      </c>
      <c r="T67" s="9" t="s">
        <v>1024</v>
      </c>
    </row>
    <row r="68" spans="1:20" ht="38.25" x14ac:dyDescent="0.25">
      <c r="A68" s="9">
        <v>66</v>
      </c>
      <c r="B68" s="9" t="s">
        <v>951</v>
      </c>
      <c r="C68" s="9" t="s">
        <v>952</v>
      </c>
      <c r="D68" s="9" t="s">
        <v>1149</v>
      </c>
      <c r="E68" s="9"/>
      <c r="F68" s="9"/>
      <c r="G68" s="9" t="s">
        <v>1150</v>
      </c>
      <c r="H68" s="9" t="s">
        <v>46</v>
      </c>
      <c r="I68" s="9"/>
      <c r="J68" s="9" t="s">
        <v>1020</v>
      </c>
      <c r="K68" s="9" t="s">
        <v>1021</v>
      </c>
      <c r="L68" s="9"/>
      <c r="M68" s="9"/>
      <c r="N68" s="9"/>
      <c r="O68" s="9"/>
      <c r="P68" s="9" t="s">
        <v>1122</v>
      </c>
      <c r="Q68" s="9"/>
      <c r="R68" s="9"/>
      <c r="S68" s="9" t="s">
        <v>1023</v>
      </c>
      <c r="T68" s="9" t="s">
        <v>1024</v>
      </c>
    </row>
    <row r="69" spans="1:20" ht="38.25" x14ac:dyDescent="0.25">
      <c r="A69" s="9">
        <v>67</v>
      </c>
      <c r="B69" s="9" t="s">
        <v>1093</v>
      </c>
      <c r="C69" s="9"/>
      <c r="D69" s="9" t="s">
        <v>1151</v>
      </c>
      <c r="E69" s="9"/>
      <c r="F69" s="9"/>
      <c r="G69" s="9" t="s">
        <v>1152</v>
      </c>
      <c r="H69" s="9" t="s">
        <v>46</v>
      </c>
      <c r="I69" s="9"/>
      <c r="J69" s="9" t="s">
        <v>1020</v>
      </c>
      <c r="K69" s="9" t="s">
        <v>1021</v>
      </c>
      <c r="L69" s="9"/>
      <c r="M69" s="9"/>
      <c r="N69" s="9"/>
      <c r="O69" s="9"/>
      <c r="P69" s="9"/>
      <c r="Q69" s="9"/>
      <c r="R69" s="9"/>
      <c r="S69" s="9" t="s">
        <v>1023</v>
      </c>
      <c r="T69" s="9" t="s">
        <v>1024</v>
      </c>
    </row>
    <row r="70" spans="1:20" ht="38.25" x14ac:dyDescent="0.25">
      <c r="A70" s="9">
        <v>68</v>
      </c>
      <c r="B70" s="9" t="s">
        <v>1093</v>
      </c>
      <c r="C70" s="9"/>
      <c r="D70" s="9" t="s">
        <v>1153</v>
      </c>
      <c r="E70" s="9"/>
      <c r="F70" s="9"/>
      <c r="G70" s="9" t="s">
        <v>1154</v>
      </c>
      <c r="H70" s="9" t="s">
        <v>46</v>
      </c>
      <c r="I70" s="9"/>
      <c r="J70" s="9" t="s">
        <v>1020</v>
      </c>
      <c r="K70" s="9" t="s">
        <v>1021</v>
      </c>
      <c r="L70" s="9"/>
      <c r="M70" s="9"/>
      <c r="N70" s="9"/>
      <c r="O70" s="9"/>
      <c r="P70" s="9"/>
      <c r="Q70" s="9"/>
      <c r="R70" s="9"/>
      <c r="S70" s="9" t="s">
        <v>1023</v>
      </c>
      <c r="T70" s="9" t="s">
        <v>1024</v>
      </c>
    </row>
    <row r="71" spans="1:20" ht="25.5" x14ac:dyDescent="0.25">
      <c r="A71" s="9">
        <v>69</v>
      </c>
      <c r="B71" s="9" t="s">
        <v>801</v>
      </c>
      <c r="C71" s="9" t="s">
        <v>802</v>
      </c>
      <c r="D71" s="9" t="s">
        <v>1155</v>
      </c>
      <c r="E71" s="9"/>
      <c r="F71" s="9"/>
      <c r="G71" s="9" t="s">
        <v>1033</v>
      </c>
      <c r="H71" s="9" t="s">
        <v>46</v>
      </c>
      <c r="I71" s="9"/>
      <c r="J71" s="9" t="s">
        <v>1020</v>
      </c>
      <c r="K71" s="9" t="s">
        <v>1021</v>
      </c>
      <c r="L71" s="9"/>
      <c r="M71" s="9"/>
      <c r="N71" s="9"/>
      <c r="O71" s="9"/>
      <c r="P71" s="9" t="s">
        <v>1100</v>
      </c>
      <c r="Q71" s="9"/>
      <c r="R71" s="9"/>
      <c r="S71" s="9" t="s">
        <v>1023</v>
      </c>
      <c r="T71" s="9" t="s">
        <v>1024</v>
      </c>
    </row>
    <row r="72" spans="1:20" ht="25.5" x14ac:dyDescent="0.25">
      <c r="A72" s="9">
        <v>70</v>
      </c>
      <c r="B72" s="9" t="s">
        <v>801</v>
      </c>
      <c r="C72" s="9" t="s">
        <v>802</v>
      </c>
      <c r="D72" s="9" t="s">
        <v>1156</v>
      </c>
      <c r="E72" s="9"/>
      <c r="F72" s="9"/>
      <c r="G72" s="9" t="s">
        <v>1157</v>
      </c>
      <c r="H72" s="9" t="s">
        <v>46</v>
      </c>
      <c r="I72" s="9"/>
      <c r="J72" s="9" t="s">
        <v>1020</v>
      </c>
      <c r="K72" s="9" t="s">
        <v>1021</v>
      </c>
      <c r="L72" s="9"/>
      <c r="M72" s="9"/>
      <c r="N72" s="9"/>
      <c r="O72" s="9"/>
      <c r="P72" s="9" t="s">
        <v>1100</v>
      </c>
      <c r="Q72" s="9"/>
      <c r="R72" s="9"/>
      <c r="S72" s="9" t="s">
        <v>1023</v>
      </c>
      <c r="T72" s="9" t="s">
        <v>1024</v>
      </c>
    </row>
    <row r="73" spans="1:20" ht="25.5" x14ac:dyDescent="0.25">
      <c r="A73" s="9">
        <v>71</v>
      </c>
      <c r="B73" s="9" t="s">
        <v>951</v>
      </c>
      <c r="C73" s="9" t="s">
        <v>952</v>
      </c>
      <c r="D73" s="9" t="s">
        <v>1158</v>
      </c>
      <c r="E73" s="9"/>
      <c r="F73" s="9"/>
      <c r="G73" s="9"/>
      <c r="H73" s="9" t="s">
        <v>46</v>
      </c>
      <c r="I73" s="9"/>
      <c r="J73" s="9" t="s">
        <v>1020</v>
      </c>
      <c r="K73" s="9" t="s">
        <v>1021</v>
      </c>
      <c r="L73" s="9"/>
      <c r="M73" s="9"/>
      <c r="N73" s="9"/>
      <c r="O73" s="9"/>
      <c r="P73" s="9" t="s">
        <v>1159</v>
      </c>
      <c r="Q73" s="9"/>
      <c r="R73" s="9"/>
      <c r="S73" s="9" t="s">
        <v>1023</v>
      </c>
      <c r="T73" s="9" t="s">
        <v>1024</v>
      </c>
    </row>
    <row r="74" spans="1:20" ht="38.25" x14ac:dyDescent="0.25">
      <c r="A74" s="9">
        <v>72</v>
      </c>
      <c r="B74" s="9" t="s">
        <v>951</v>
      </c>
      <c r="C74" s="9" t="s">
        <v>952</v>
      </c>
      <c r="D74" s="9" t="s">
        <v>1160</v>
      </c>
      <c r="E74" s="9"/>
      <c r="F74" s="9"/>
      <c r="G74" s="9"/>
      <c r="H74" s="9" t="s">
        <v>46</v>
      </c>
      <c r="I74" s="9"/>
      <c r="J74" s="9" t="s">
        <v>1020</v>
      </c>
      <c r="K74" s="9" t="s">
        <v>1021</v>
      </c>
      <c r="L74" s="9"/>
      <c r="M74" s="9"/>
      <c r="N74" s="9"/>
      <c r="O74" s="9"/>
      <c r="P74" s="9" t="s">
        <v>1122</v>
      </c>
      <c r="Q74" s="9"/>
      <c r="R74" s="9"/>
      <c r="S74" s="9" t="s">
        <v>1023</v>
      </c>
      <c r="T74" s="9" t="s">
        <v>1024</v>
      </c>
    </row>
    <row r="75" spans="1:20" ht="25.5" x14ac:dyDescent="0.25">
      <c r="A75" s="9">
        <v>73</v>
      </c>
      <c r="B75" s="9" t="s">
        <v>951</v>
      </c>
      <c r="C75" s="9" t="s">
        <v>952</v>
      </c>
      <c r="D75" s="9" t="s">
        <v>1161</v>
      </c>
      <c r="E75" s="9"/>
      <c r="F75" s="9"/>
      <c r="G75" s="9"/>
      <c r="H75" s="9" t="s">
        <v>46</v>
      </c>
      <c r="I75" s="9"/>
      <c r="J75" s="9" t="s">
        <v>1020</v>
      </c>
      <c r="K75" s="9" t="s">
        <v>1021</v>
      </c>
      <c r="L75" s="9"/>
      <c r="M75" s="9"/>
      <c r="N75" s="9"/>
      <c r="O75" s="9"/>
      <c r="P75" s="9" t="s">
        <v>1159</v>
      </c>
      <c r="Q75" s="9"/>
      <c r="R75" s="9"/>
      <c r="S75" s="9" t="s">
        <v>1023</v>
      </c>
      <c r="T75" s="9" t="s">
        <v>1024</v>
      </c>
    </row>
    <row r="76" spans="1:20" ht="38.25" x14ac:dyDescent="0.25">
      <c r="A76" s="9">
        <v>74</v>
      </c>
      <c r="B76" s="9" t="s">
        <v>951</v>
      </c>
      <c r="C76" s="9" t="s">
        <v>952</v>
      </c>
      <c r="D76" s="9" t="s">
        <v>1162</v>
      </c>
      <c r="E76" s="9"/>
      <c r="F76" s="9"/>
      <c r="G76" s="9"/>
      <c r="H76" s="9" t="s">
        <v>46</v>
      </c>
      <c r="I76" s="9"/>
      <c r="J76" s="9" t="s">
        <v>1020</v>
      </c>
      <c r="K76" s="9" t="s">
        <v>1021</v>
      </c>
      <c r="L76" s="9"/>
      <c r="M76" s="9"/>
      <c r="N76" s="9"/>
      <c r="O76" s="9"/>
      <c r="P76" s="9" t="s">
        <v>1122</v>
      </c>
      <c r="Q76" s="9"/>
      <c r="R76" s="9"/>
      <c r="S76" s="9" t="s">
        <v>1023</v>
      </c>
      <c r="T76" s="9" t="s">
        <v>1024</v>
      </c>
    </row>
    <row r="77" spans="1:20" ht="140.25" x14ac:dyDescent="0.25">
      <c r="A77" s="9">
        <v>75</v>
      </c>
      <c r="B77" s="9" t="s">
        <v>421</v>
      </c>
      <c r="C77" s="9" t="s">
        <v>422</v>
      </c>
      <c r="D77" s="9" t="s">
        <v>1163</v>
      </c>
      <c r="E77" s="9"/>
      <c r="F77" s="9"/>
      <c r="G77" s="9" t="s">
        <v>1164</v>
      </c>
      <c r="H77" s="9" t="s">
        <v>46</v>
      </c>
      <c r="I77" s="9"/>
      <c r="J77" s="9" t="s">
        <v>1020</v>
      </c>
      <c r="K77" s="9" t="s">
        <v>1021</v>
      </c>
      <c r="L77" s="9"/>
      <c r="M77" s="9"/>
      <c r="N77" s="9"/>
      <c r="O77" s="9"/>
      <c r="P77" s="9" t="s">
        <v>1165</v>
      </c>
      <c r="Q77" s="9"/>
      <c r="R77" s="9"/>
      <c r="S77" s="9" t="s">
        <v>1023</v>
      </c>
      <c r="T77" s="9" t="s">
        <v>1024</v>
      </c>
    </row>
    <row r="78" spans="1:20" ht="191.25" x14ac:dyDescent="0.25">
      <c r="A78" s="9">
        <v>76</v>
      </c>
      <c r="B78" s="9" t="s">
        <v>774</v>
      </c>
      <c r="C78" s="9" t="s">
        <v>775</v>
      </c>
      <c r="D78" s="9" t="s">
        <v>1166</v>
      </c>
      <c r="E78" s="9"/>
      <c r="F78" s="9"/>
      <c r="G78" s="9" t="s">
        <v>1033</v>
      </c>
      <c r="H78" s="9" t="s">
        <v>46</v>
      </c>
      <c r="I78" s="9"/>
      <c r="J78" s="9" t="s">
        <v>1020</v>
      </c>
      <c r="K78" s="9" t="s">
        <v>1021</v>
      </c>
      <c r="L78" s="9"/>
      <c r="M78" s="9"/>
      <c r="N78" s="9"/>
      <c r="O78" s="9"/>
      <c r="P78" s="9" t="s">
        <v>1167</v>
      </c>
      <c r="Q78" s="9"/>
      <c r="R78" s="9"/>
      <c r="S78" s="9" t="s">
        <v>1023</v>
      </c>
      <c r="T78" s="9" t="s">
        <v>1024</v>
      </c>
    </row>
    <row r="79" spans="1:20" ht="153" x14ac:dyDescent="0.25">
      <c r="A79" s="9">
        <v>77</v>
      </c>
      <c r="B79" s="9" t="s">
        <v>901</v>
      </c>
      <c r="C79" s="9" t="s">
        <v>902</v>
      </c>
      <c r="D79" s="9" t="s">
        <v>1168</v>
      </c>
      <c r="E79" s="9"/>
      <c r="F79" s="9"/>
      <c r="G79" s="9" t="s">
        <v>1169</v>
      </c>
      <c r="H79" s="9" t="s">
        <v>46</v>
      </c>
      <c r="I79" s="9"/>
      <c r="J79" s="9" t="s">
        <v>1020</v>
      </c>
      <c r="K79" s="9" t="s">
        <v>1021</v>
      </c>
      <c r="L79" s="9"/>
      <c r="M79" s="9"/>
      <c r="N79" s="9"/>
      <c r="O79" s="9"/>
      <c r="P79" s="9" t="s">
        <v>1170</v>
      </c>
      <c r="Q79" s="9"/>
      <c r="R79" s="9"/>
      <c r="S79" s="9" t="s">
        <v>1023</v>
      </c>
      <c r="T79" s="9" t="s">
        <v>1024</v>
      </c>
    </row>
    <row r="80" spans="1:20" ht="127.5" x14ac:dyDescent="0.25">
      <c r="A80" s="9">
        <v>78</v>
      </c>
      <c r="B80" s="9" t="s">
        <v>801</v>
      </c>
      <c r="C80" s="9" t="s">
        <v>802</v>
      </c>
      <c r="D80" s="9" t="s">
        <v>1171</v>
      </c>
      <c r="E80" s="9"/>
      <c r="F80" s="9"/>
      <c r="G80" s="9" t="s">
        <v>1172</v>
      </c>
      <c r="H80" s="9" t="s">
        <v>46</v>
      </c>
      <c r="I80" s="9"/>
      <c r="J80" s="9" t="s">
        <v>1020</v>
      </c>
      <c r="K80" s="9" t="s">
        <v>1021</v>
      </c>
      <c r="L80" s="9"/>
      <c r="M80" s="9"/>
      <c r="N80" s="9"/>
      <c r="O80" s="9"/>
      <c r="P80" s="9" t="s">
        <v>1117</v>
      </c>
      <c r="Q80" s="9"/>
      <c r="R80" s="9"/>
      <c r="S80" s="9" t="s">
        <v>1023</v>
      </c>
      <c r="T80" s="9" t="s">
        <v>1024</v>
      </c>
    </row>
    <row r="81" spans="1:20" ht="127.5" x14ac:dyDescent="0.25">
      <c r="A81" s="9">
        <v>79</v>
      </c>
      <c r="B81" s="9" t="s">
        <v>801</v>
      </c>
      <c r="C81" s="9" t="s">
        <v>802</v>
      </c>
      <c r="D81" s="9" t="s">
        <v>1173</v>
      </c>
      <c r="E81" s="9"/>
      <c r="F81" s="9"/>
      <c r="G81" s="9" t="s">
        <v>1107</v>
      </c>
      <c r="H81" s="9" t="s">
        <v>46</v>
      </c>
      <c r="I81" s="9"/>
      <c r="J81" s="9" t="s">
        <v>1020</v>
      </c>
      <c r="K81" s="9" t="s">
        <v>1021</v>
      </c>
      <c r="L81" s="9"/>
      <c r="M81" s="9"/>
      <c r="N81" s="9"/>
      <c r="O81" s="9"/>
      <c r="P81" s="9" t="s">
        <v>1117</v>
      </c>
      <c r="Q81" s="9"/>
      <c r="R81" s="9"/>
      <c r="S81" s="9" t="s">
        <v>1023</v>
      </c>
      <c r="T81" s="9" t="s">
        <v>1024</v>
      </c>
    </row>
    <row r="82" spans="1:20" ht="191.25" x14ac:dyDescent="0.25">
      <c r="A82" s="9">
        <v>80</v>
      </c>
      <c r="B82" s="9" t="s">
        <v>774</v>
      </c>
      <c r="C82" s="9" t="s">
        <v>775</v>
      </c>
      <c r="D82" s="9" t="s">
        <v>1174</v>
      </c>
      <c r="E82" s="9"/>
      <c r="F82" s="9"/>
      <c r="G82" s="9" t="s">
        <v>1033</v>
      </c>
      <c r="H82" s="9" t="s">
        <v>46</v>
      </c>
      <c r="I82" s="9"/>
      <c r="J82" s="9" t="s">
        <v>1020</v>
      </c>
      <c r="K82" s="9" t="s">
        <v>1021</v>
      </c>
      <c r="L82" s="9"/>
      <c r="M82" s="9"/>
      <c r="N82" s="9"/>
      <c r="O82" s="9"/>
      <c r="P82" s="9" t="s">
        <v>1167</v>
      </c>
      <c r="Q82" s="9"/>
      <c r="R82" s="9"/>
      <c r="S82" s="9" t="s">
        <v>1023</v>
      </c>
      <c r="T82" s="9" t="s">
        <v>1024</v>
      </c>
    </row>
    <row r="83" spans="1:20" ht="63.75" x14ac:dyDescent="0.25">
      <c r="A83" s="9">
        <v>81</v>
      </c>
      <c r="B83" s="9" t="s">
        <v>1175</v>
      </c>
      <c r="C83" s="9"/>
      <c r="D83" s="9" t="s">
        <v>1176</v>
      </c>
      <c r="E83" s="9"/>
      <c r="F83" s="9"/>
      <c r="G83" s="9" t="s">
        <v>1177</v>
      </c>
      <c r="H83" s="9" t="s">
        <v>46</v>
      </c>
      <c r="I83" s="9"/>
      <c r="J83" s="9" t="s">
        <v>1020</v>
      </c>
      <c r="K83" s="9" t="s">
        <v>1021</v>
      </c>
      <c r="L83" s="9"/>
      <c r="M83" s="9"/>
      <c r="N83" s="9"/>
      <c r="O83" s="9"/>
      <c r="P83" s="9" t="s">
        <v>1178</v>
      </c>
      <c r="Q83" s="9"/>
      <c r="R83" s="9"/>
      <c r="S83" s="9" t="s">
        <v>1023</v>
      </c>
      <c r="T83" s="9" t="s">
        <v>1024</v>
      </c>
    </row>
    <row r="84" spans="1:20" ht="63.75" x14ac:dyDescent="0.25">
      <c r="A84" s="9">
        <v>82</v>
      </c>
      <c r="B84" s="9" t="s">
        <v>1175</v>
      </c>
      <c r="C84" s="9"/>
      <c r="D84" s="9" t="s">
        <v>1179</v>
      </c>
      <c r="E84" s="9"/>
      <c r="F84" s="9"/>
      <c r="G84" s="9" t="s">
        <v>1033</v>
      </c>
      <c r="H84" s="9" t="s">
        <v>46</v>
      </c>
      <c r="I84" s="9"/>
      <c r="J84" s="9" t="s">
        <v>1020</v>
      </c>
      <c r="K84" s="9" t="s">
        <v>1021</v>
      </c>
      <c r="L84" s="9"/>
      <c r="M84" s="9"/>
      <c r="N84" s="9"/>
      <c r="O84" s="9"/>
      <c r="P84" s="9" t="s">
        <v>1178</v>
      </c>
      <c r="Q84" s="9"/>
      <c r="R84" s="9"/>
      <c r="S84" s="9" t="s">
        <v>1023</v>
      </c>
      <c r="T84" s="9" t="s">
        <v>1024</v>
      </c>
    </row>
    <row r="85" spans="1:20" ht="25.5" x14ac:dyDescent="0.25">
      <c r="A85" s="9">
        <v>83</v>
      </c>
      <c r="B85" s="9" t="s">
        <v>726</v>
      </c>
      <c r="C85" s="9" t="s">
        <v>727</v>
      </c>
      <c r="D85" s="9" t="s">
        <v>729</v>
      </c>
      <c r="E85" s="9"/>
      <c r="F85" s="9"/>
      <c r="G85" s="9" t="s">
        <v>1180</v>
      </c>
      <c r="H85" s="9" t="s">
        <v>46</v>
      </c>
      <c r="I85" s="9"/>
      <c r="J85" s="9" t="s">
        <v>1020</v>
      </c>
      <c r="K85" s="9" t="s">
        <v>1021</v>
      </c>
      <c r="L85" s="9"/>
      <c r="M85" s="9"/>
      <c r="N85" s="9"/>
      <c r="O85" s="9"/>
      <c r="P85" s="9"/>
      <c r="Q85" s="9"/>
      <c r="R85" s="9"/>
      <c r="S85" s="9" t="s">
        <v>1023</v>
      </c>
      <c r="T85" s="9" t="s">
        <v>1024</v>
      </c>
    </row>
    <row r="86" spans="1:20" ht="38.25" x14ac:dyDescent="0.25">
      <c r="A86" s="9">
        <v>84</v>
      </c>
      <c r="B86" s="9" t="s">
        <v>1093</v>
      </c>
      <c r="C86" s="9"/>
      <c r="D86" s="9" t="s">
        <v>1181</v>
      </c>
      <c r="E86" s="9"/>
      <c r="F86" s="9"/>
      <c r="G86" s="9" t="s">
        <v>1182</v>
      </c>
      <c r="H86" s="9" t="s">
        <v>46</v>
      </c>
      <c r="I86" s="9"/>
      <c r="J86" s="9" t="s">
        <v>1020</v>
      </c>
      <c r="K86" s="9" t="s">
        <v>1021</v>
      </c>
      <c r="L86" s="9"/>
      <c r="M86" s="9"/>
      <c r="N86" s="9"/>
      <c r="O86" s="9"/>
      <c r="P86" s="9"/>
      <c r="Q86" s="9"/>
      <c r="R86" s="9"/>
      <c r="S86" s="9" t="s">
        <v>1023</v>
      </c>
      <c r="T86" s="9" t="s">
        <v>1024</v>
      </c>
    </row>
    <row r="87" spans="1:20" ht="25.5" x14ac:dyDescent="0.25">
      <c r="A87" s="9">
        <v>85</v>
      </c>
      <c r="B87" s="9" t="s">
        <v>801</v>
      </c>
      <c r="C87" s="9" t="s">
        <v>802</v>
      </c>
      <c r="D87" s="9" t="s">
        <v>1183</v>
      </c>
      <c r="E87" s="9"/>
      <c r="F87" s="9"/>
      <c r="G87" s="9" t="s">
        <v>1184</v>
      </c>
      <c r="H87" s="9" t="s">
        <v>46</v>
      </c>
      <c r="I87" s="9"/>
      <c r="J87" s="9" t="s">
        <v>1020</v>
      </c>
      <c r="K87" s="9" t="s">
        <v>1021</v>
      </c>
      <c r="L87" s="9"/>
      <c r="M87" s="9"/>
      <c r="N87" s="9"/>
      <c r="O87" s="9"/>
      <c r="P87" s="9" t="s">
        <v>1100</v>
      </c>
      <c r="Q87" s="9"/>
      <c r="R87" s="9"/>
      <c r="S87" s="9" t="s">
        <v>1023</v>
      </c>
      <c r="T87" s="9" t="s">
        <v>1024</v>
      </c>
    </row>
    <row r="88" spans="1:20" ht="38.25" x14ac:dyDescent="0.25">
      <c r="A88" s="9">
        <v>86</v>
      </c>
      <c r="B88" s="9" t="s">
        <v>1093</v>
      </c>
      <c r="C88" s="9"/>
      <c r="D88" s="9" t="s">
        <v>1185</v>
      </c>
      <c r="E88" s="9"/>
      <c r="F88" s="9"/>
      <c r="G88" s="9" t="s">
        <v>1186</v>
      </c>
      <c r="H88" s="9" t="s">
        <v>46</v>
      </c>
      <c r="I88" s="9"/>
      <c r="J88" s="9" t="s">
        <v>1020</v>
      </c>
      <c r="K88" s="9" t="s">
        <v>1021</v>
      </c>
      <c r="L88" s="9"/>
      <c r="M88" s="9"/>
      <c r="N88" s="9"/>
      <c r="O88" s="9"/>
      <c r="P88" s="9"/>
      <c r="Q88" s="9"/>
      <c r="R88" s="9"/>
      <c r="S88" s="9" t="s">
        <v>1023</v>
      </c>
      <c r="T88" s="9" t="s">
        <v>1024</v>
      </c>
    </row>
    <row r="89" spans="1:20" ht="63.75" x14ac:dyDescent="0.25">
      <c r="A89" s="9">
        <v>87</v>
      </c>
      <c r="B89" s="9" t="s">
        <v>1175</v>
      </c>
      <c r="C89" s="9"/>
      <c r="D89" s="9" t="s">
        <v>1187</v>
      </c>
      <c r="E89" s="9"/>
      <c r="F89" s="9"/>
      <c r="G89" s="9" t="s">
        <v>1188</v>
      </c>
      <c r="H89" s="9" t="s">
        <v>46</v>
      </c>
      <c r="I89" s="9"/>
      <c r="J89" s="9" t="s">
        <v>1020</v>
      </c>
      <c r="K89" s="9" t="s">
        <v>1021</v>
      </c>
      <c r="L89" s="9"/>
      <c r="M89" s="9"/>
      <c r="N89" s="9"/>
      <c r="O89" s="9"/>
      <c r="P89" s="9" t="s">
        <v>1189</v>
      </c>
      <c r="Q89" s="9"/>
      <c r="R89" s="9"/>
      <c r="S89" s="9" t="s">
        <v>1023</v>
      </c>
      <c r="T89" s="9" t="s">
        <v>1024</v>
      </c>
    </row>
    <row r="90" spans="1:20" ht="25.5" x14ac:dyDescent="0.25">
      <c r="A90" s="9">
        <v>88</v>
      </c>
      <c r="B90" s="9" t="s">
        <v>951</v>
      </c>
      <c r="C90" s="9" t="s">
        <v>952</v>
      </c>
      <c r="D90" s="9" t="s">
        <v>1190</v>
      </c>
      <c r="E90" s="9"/>
      <c r="F90" s="9"/>
      <c r="G90" s="9" t="s">
        <v>1058</v>
      </c>
      <c r="H90" s="9" t="s">
        <v>46</v>
      </c>
      <c r="I90" s="9"/>
      <c r="J90" s="9" t="s">
        <v>1020</v>
      </c>
      <c r="K90" s="9" t="s">
        <v>1021</v>
      </c>
      <c r="L90" s="9"/>
      <c r="M90" s="9"/>
      <c r="N90" s="9"/>
      <c r="O90" s="9"/>
      <c r="P90" s="9"/>
      <c r="Q90" s="9"/>
      <c r="R90" s="9"/>
      <c r="S90" s="9" t="s">
        <v>1023</v>
      </c>
      <c r="T90" s="9" t="s">
        <v>1024</v>
      </c>
    </row>
    <row r="91" spans="1:20" ht="25.5" x14ac:dyDescent="0.25">
      <c r="A91" s="9">
        <v>89</v>
      </c>
      <c r="B91" s="9" t="s">
        <v>951</v>
      </c>
      <c r="C91" s="9" t="s">
        <v>952</v>
      </c>
      <c r="D91" s="9" t="s">
        <v>1191</v>
      </c>
      <c r="E91" s="9"/>
      <c r="F91" s="9"/>
      <c r="G91" s="9" t="s">
        <v>1192</v>
      </c>
      <c r="H91" s="9" t="s">
        <v>46</v>
      </c>
      <c r="I91" s="9"/>
      <c r="J91" s="9" t="s">
        <v>1020</v>
      </c>
      <c r="K91" s="9" t="s">
        <v>1021</v>
      </c>
      <c r="L91" s="9"/>
      <c r="M91" s="9"/>
      <c r="N91" s="9"/>
      <c r="O91" s="9"/>
      <c r="P91" s="9"/>
      <c r="Q91" s="9"/>
      <c r="R91" s="9"/>
      <c r="S91" s="9" t="s">
        <v>1023</v>
      </c>
      <c r="T91" s="9" t="s">
        <v>1024</v>
      </c>
    </row>
    <row r="92" spans="1:20" ht="25.5" x14ac:dyDescent="0.25">
      <c r="A92" s="9">
        <v>90</v>
      </c>
      <c r="B92" s="9" t="s">
        <v>951</v>
      </c>
      <c r="C92" s="9" t="s">
        <v>952</v>
      </c>
      <c r="D92" s="9" t="s">
        <v>1193</v>
      </c>
      <c r="E92" s="9"/>
      <c r="F92" s="9"/>
      <c r="G92" s="9" t="s">
        <v>1194</v>
      </c>
      <c r="H92" s="9" t="s">
        <v>46</v>
      </c>
      <c r="I92" s="9"/>
      <c r="J92" s="9" t="s">
        <v>1020</v>
      </c>
      <c r="K92" s="9" t="s">
        <v>1021</v>
      </c>
      <c r="L92" s="9"/>
      <c r="M92" s="9"/>
      <c r="N92" s="9"/>
      <c r="O92" s="9"/>
      <c r="P92" s="9"/>
      <c r="Q92" s="9"/>
      <c r="R92" s="9"/>
      <c r="S92" s="9" t="s">
        <v>1023</v>
      </c>
      <c r="T92" s="9" t="s">
        <v>1024</v>
      </c>
    </row>
    <row r="93" spans="1:20" ht="25.5" x14ac:dyDescent="0.25">
      <c r="A93" s="9">
        <v>91</v>
      </c>
      <c r="B93" s="9" t="s">
        <v>951</v>
      </c>
      <c r="C93" s="9" t="s">
        <v>952</v>
      </c>
      <c r="D93" s="9" t="s">
        <v>1195</v>
      </c>
      <c r="E93" s="9"/>
      <c r="F93" s="9"/>
      <c r="G93" s="9" t="s">
        <v>1058</v>
      </c>
      <c r="H93" s="9" t="s">
        <v>46</v>
      </c>
      <c r="I93" s="9"/>
      <c r="J93" s="9" t="s">
        <v>1020</v>
      </c>
      <c r="K93" s="9" t="s">
        <v>1021</v>
      </c>
      <c r="L93" s="9"/>
      <c r="M93" s="9"/>
      <c r="N93" s="9"/>
      <c r="O93" s="9"/>
      <c r="P93" s="9"/>
      <c r="Q93" s="9"/>
      <c r="R93" s="9"/>
      <c r="S93" s="9" t="s">
        <v>1023</v>
      </c>
      <c r="T93" s="9" t="s">
        <v>1024</v>
      </c>
    </row>
    <row r="94" spans="1:20" ht="25.5" x14ac:dyDescent="0.25">
      <c r="A94" s="9">
        <v>92</v>
      </c>
      <c r="B94" s="9" t="s">
        <v>388</v>
      </c>
      <c r="C94" s="9" t="s">
        <v>389</v>
      </c>
      <c r="D94" s="9" t="s">
        <v>1196</v>
      </c>
      <c r="E94" s="9"/>
      <c r="F94" s="9"/>
      <c r="G94" s="9"/>
      <c r="H94" s="9" t="s">
        <v>46</v>
      </c>
      <c r="I94" s="9"/>
      <c r="J94" s="9" t="s">
        <v>1020</v>
      </c>
      <c r="K94" s="9" t="s">
        <v>1021</v>
      </c>
      <c r="L94" s="9"/>
      <c r="M94" s="9"/>
      <c r="N94" s="9"/>
      <c r="O94" s="9"/>
      <c r="P94" s="9"/>
      <c r="Q94" s="9"/>
      <c r="R94" s="9"/>
      <c r="S94" s="9" t="s">
        <v>1023</v>
      </c>
      <c r="T94" s="9" t="s">
        <v>1024</v>
      </c>
    </row>
    <row r="95" spans="1:20" ht="25.5" x14ac:dyDescent="0.25">
      <c r="A95" s="9">
        <v>93</v>
      </c>
      <c r="B95" s="9" t="s">
        <v>388</v>
      </c>
      <c r="C95" s="9" t="s">
        <v>389</v>
      </c>
      <c r="D95" s="9" t="s">
        <v>1197</v>
      </c>
      <c r="E95" s="9"/>
      <c r="F95" s="9"/>
      <c r="G95" s="9"/>
      <c r="H95" s="9" t="s">
        <v>46</v>
      </c>
      <c r="I95" s="9"/>
      <c r="J95" s="9" t="s">
        <v>1020</v>
      </c>
      <c r="K95" s="9" t="s">
        <v>1021</v>
      </c>
      <c r="L95" s="9"/>
      <c r="M95" s="9"/>
      <c r="N95" s="9"/>
      <c r="O95" s="9"/>
      <c r="P95" s="9"/>
      <c r="Q95" s="9"/>
      <c r="R95" s="9"/>
      <c r="S95" s="9" t="s">
        <v>1023</v>
      </c>
      <c r="T95" s="9" t="s">
        <v>1024</v>
      </c>
    </row>
    <row r="96" spans="1:20" ht="25.5" x14ac:dyDescent="0.25">
      <c r="A96" s="9">
        <v>94</v>
      </c>
      <c r="B96" s="9" t="s">
        <v>388</v>
      </c>
      <c r="C96" s="9" t="s">
        <v>389</v>
      </c>
      <c r="D96" s="9" t="s">
        <v>1198</v>
      </c>
      <c r="E96" s="9"/>
      <c r="F96" s="9"/>
      <c r="G96" s="9"/>
      <c r="H96" s="9" t="s">
        <v>46</v>
      </c>
      <c r="I96" s="9"/>
      <c r="J96" s="9" t="s">
        <v>1020</v>
      </c>
      <c r="K96" s="9" t="s">
        <v>1021</v>
      </c>
      <c r="L96" s="9"/>
      <c r="M96" s="9"/>
      <c r="N96" s="9"/>
      <c r="O96" s="9"/>
      <c r="P96" s="9"/>
      <c r="Q96" s="9"/>
      <c r="R96" s="9"/>
      <c r="S96" s="9" t="s">
        <v>1023</v>
      </c>
      <c r="T96" s="9" t="s">
        <v>1024</v>
      </c>
    </row>
    <row r="97" spans="1:20" ht="25.5" x14ac:dyDescent="0.25">
      <c r="A97" s="9">
        <v>95</v>
      </c>
      <c r="B97" s="9" t="s">
        <v>388</v>
      </c>
      <c r="C97" s="9" t="s">
        <v>389</v>
      </c>
      <c r="D97" s="9" t="s">
        <v>1199</v>
      </c>
      <c r="E97" s="9"/>
      <c r="F97" s="9"/>
      <c r="G97" s="9"/>
      <c r="H97" s="9" t="s">
        <v>46</v>
      </c>
      <c r="I97" s="9"/>
      <c r="J97" s="9" t="s">
        <v>1020</v>
      </c>
      <c r="K97" s="9" t="s">
        <v>1021</v>
      </c>
      <c r="L97" s="9"/>
      <c r="M97" s="9"/>
      <c r="N97" s="9"/>
      <c r="O97" s="9"/>
      <c r="P97" s="9"/>
      <c r="Q97" s="9"/>
      <c r="R97" s="9"/>
      <c r="S97" s="9" t="s">
        <v>1023</v>
      </c>
      <c r="T97" s="9" t="s">
        <v>1024</v>
      </c>
    </row>
    <row r="98" spans="1:20" ht="25.5" x14ac:dyDescent="0.25">
      <c r="A98" s="9">
        <v>96</v>
      </c>
      <c r="B98" s="9" t="s">
        <v>388</v>
      </c>
      <c r="C98" s="9" t="s">
        <v>389</v>
      </c>
      <c r="D98" s="9" t="s">
        <v>1200</v>
      </c>
      <c r="E98" s="9"/>
      <c r="F98" s="9"/>
      <c r="G98" s="9"/>
      <c r="H98" s="9" t="s">
        <v>46</v>
      </c>
      <c r="I98" s="9"/>
      <c r="J98" s="9" t="s">
        <v>1020</v>
      </c>
      <c r="K98" s="9" t="s">
        <v>1021</v>
      </c>
      <c r="L98" s="9"/>
      <c r="M98" s="9"/>
      <c r="N98" s="9"/>
      <c r="O98" s="9"/>
      <c r="P98" s="9"/>
      <c r="Q98" s="9"/>
      <c r="R98" s="9"/>
      <c r="S98" s="9" t="s">
        <v>1023</v>
      </c>
      <c r="T98" s="9" t="s">
        <v>1024</v>
      </c>
    </row>
    <row r="99" spans="1:20" ht="25.5" x14ac:dyDescent="0.25">
      <c r="A99" s="9">
        <v>97</v>
      </c>
      <c r="B99" s="9" t="s">
        <v>388</v>
      </c>
      <c r="C99" s="9" t="s">
        <v>389</v>
      </c>
      <c r="D99" s="9" t="s">
        <v>1201</v>
      </c>
      <c r="E99" s="9"/>
      <c r="F99" s="9"/>
      <c r="G99" s="9"/>
      <c r="H99" s="9" t="s">
        <v>46</v>
      </c>
      <c r="I99" s="9"/>
      <c r="J99" s="9" t="s">
        <v>1020</v>
      </c>
      <c r="K99" s="9" t="s">
        <v>1021</v>
      </c>
      <c r="L99" s="9"/>
      <c r="M99" s="9"/>
      <c r="N99" s="9"/>
      <c r="O99" s="9"/>
      <c r="P99" s="9"/>
      <c r="Q99" s="9"/>
      <c r="R99" s="9"/>
      <c r="S99" s="9" t="s">
        <v>1023</v>
      </c>
      <c r="T99" s="9" t="s">
        <v>1024</v>
      </c>
    </row>
    <row r="100" spans="1:20" ht="25.5" x14ac:dyDescent="0.25">
      <c r="A100" s="9">
        <v>98</v>
      </c>
      <c r="B100" s="9" t="s">
        <v>1093</v>
      </c>
      <c r="C100" s="9"/>
      <c r="D100" s="9" t="s">
        <v>1202</v>
      </c>
      <c r="E100" s="9"/>
      <c r="F100" s="9"/>
      <c r="G100" s="9" t="s">
        <v>1203</v>
      </c>
      <c r="H100" s="9" t="s">
        <v>46</v>
      </c>
      <c r="I100" s="9"/>
      <c r="J100" s="9" t="s">
        <v>1020</v>
      </c>
      <c r="K100" s="9" t="s">
        <v>1021</v>
      </c>
      <c r="L100" s="9"/>
      <c r="M100" s="9"/>
      <c r="N100" s="9"/>
      <c r="O100" s="9"/>
      <c r="P100" s="9"/>
      <c r="Q100" s="9"/>
      <c r="R100" s="9"/>
      <c r="S100" s="9" t="s">
        <v>1023</v>
      </c>
      <c r="T100" s="9" t="s">
        <v>1024</v>
      </c>
    </row>
    <row r="101" spans="1:20" ht="25.5" x14ac:dyDescent="0.25">
      <c r="A101" s="9">
        <v>99</v>
      </c>
      <c r="B101" s="9" t="s">
        <v>704</v>
      </c>
      <c r="C101" s="9" t="s">
        <v>705</v>
      </c>
      <c r="D101" s="9" t="s">
        <v>1204</v>
      </c>
      <c r="E101" s="9"/>
      <c r="F101" s="9"/>
      <c r="G101" s="9" t="s">
        <v>1205</v>
      </c>
      <c r="H101" s="9" t="s">
        <v>46</v>
      </c>
      <c r="I101" s="9"/>
      <c r="J101" s="9" t="s">
        <v>1020</v>
      </c>
      <c r="K101" s="9" t="s">
        <v>1021</v>
      </c>
      <c r="L101" s="9"/>
      <c r="M101" s="9"/>
      <c r="N101" s="9"/>
      <c r="O101" s="9"/>
      <c r="P101" s="9"/>
      <c r="Q101" s="9"/>
      <c r="R101" s="9"/>
      <c r="S101" s="9" t="s">
        <v>1023</v>
      </c>
      <c r="T101" s="9" t="s">
        <v>1024</v>
      </c>
    </row>
    <row r="102" spans="1:20" ht="25.5" x14ac:dyDescent="0.25">
      <c r="A102" s="9">
        <v>100</v>
      </c>
      <c r="B102" s="9" t="s">
        <v>704</v>
      </c>
      <c r="C102" s="9" t="s">
        <v>705</v>
      </c>
      <c r="D102" s="9" t="s">
        <v>1206</v>
      </c>
      <c r="E102" s="9"/>
      <c r="F102" s="9"/>
      <c r="G102" s="9" t="s">
        <v>1207</v>
      </c>
      <c r="H102" s="9" t="s">
        <v>46</v>
      </c>
      <c r="I102" s="9"/>
      <c r="J102" s="9" t="s">
        <v>1020</v>
      </c>
      <c r="K102" s="9" t="s">
        <v>1021</v>
      </c>
      <c r="L102" s="9"/>
      <c r="M102" s="9"/>
      <c r="N102" s="9"/>
      <c r="O102" s="9"/>
      <c r="P102" s="9"/>
      <c r="Q102" s="9"/>
      <c r="R102" s="9"/>
      <c r="S102" s="9" t="s">
        <v>1023</v>
      </c>
      <c r="T102" s="9" t="s">
        <v>1024</v>
      </c>
    </row>
    <row r="103" spans="1:20" ht="25.5" x14ac:dyDescent="0.25">
      <c r="A103" s="9">
        <v>101</v>
      </c>
      <c r="B103" s="9" t="s">
        <v>704</v>
      </c>
      <c r="C103" s="9" t="s">
        <v>705</v>
      </c>
      <c r="D103" s="9" t="s">
        <v>1208</v>
      </c>
      <c r="E103" s="9"/>
      <c r="F103" s="9"/>
      <c r="G103" s="9" t="s">
        <v>1207</v>
      </c>
      <c r="H103" s="9" t="s">
        <v>46</v>
      </c>
      <c r="I103" s="9"/>
      <c r="J103" s="9" t="s">
        <v>1020</v>
      </c>
      <c r="K103" s="9" t="s">
        <v>1021</v>
      </c>
      <c r="L103" s="9"/>
      <c r="M103" s="9"/>
      <c r="N103" s="9"/>
      <c r="O103" s="9"/>
      <c r="P103" s="9"/>
      <c r="Q103" s="9"/>
      <c r="R103" s="9"/>
      <c r="S103" s="9" t="s">
        <v>1023</v>
      </c>
      <c r="T103" s="9" t="s">
        <v>1024</v>
      </c>
    </row>
    <row r="104" spans="1:20" ht="25.5" x14ac:dyDescent="0.25">
      <c r="A104" s="9">
        <v>102</v>
      </c>
      <c r="B104" s="9" t="s">
        <v>704</v>
      </c>
      <c r="C104" s="9" t="s">
        <v>705</v>
      </c>
      <c r="D104" s="9" t="s">
        <v>1209</v>
      </c>
      <c r="E104" s="9"/>
      <c r="F104" s="9"/>
      <c r="G104" s="9" t="s">
        <v>1210</v>
      </c>
      <c r="H104" s="9" t="s">
        <v>46</v>
      </c>
      <c r="I104" s="9"/>
      <c r="J104" s="9" t="s">
        <v>1020</v>
      </c>
      <c r="K104" s="9" t="s">
        <v>1021</v>
      </c>
      <c r="L104" s="9"/>
      <c r="M104" s="9"/>
      <c r="N104" s="9"/>
      <c r="O104" s="9"/>
      <c r="P104" s="9"/>
      <c r="Q104" s="9"/>
      <c r="R104" s="9"/>
      <c r="S104" s="9" t="s">
        <v>1023</v>
      </c>
      <c r="T104" s="9" t="s">
        <v>1024</v>
      </c>
    </row>
    <row r="105" spans="1:20" ht="25.5" x14ac:dyDescent="0.25">
      <c r="A105" s="9">
        <v>103</v>
      </c>
      <c r="B105" s="9" t="s">
        <v>704</v>
      </c>
      <c r="C105" s="9" t="s">
        <v>705</v>
      </c>
      <c r="D105" s="9" t="s">
        <v>1211</v>
      </c>
      <c r="E105" s="9"/>
      <c r="F105" s="9"/>
      <c r="G105" s="9" t="s">
        <v>1205</v>
      </c>
      <c r="H105" s="9" t="s">
        <v>46</v>
      </c>
      <c r="I105" s="9"/>
      <c r="J105" s="9" t="s">
        <v>1020</v>
      </c>
      <c r="K105" s="9" t="s">
        <v>1021</v>
      </c>
      <c r="L105" s="9"/>
      <c r="M105" s="9"/>
      <c r="N105" s="9"/>
      <c r="O105" s="9"/>
      <c r="P105" s="9"/>
      <c r="Q105" s="9"/>
      <c r="R105" s="9"/>
      <c r="S105" s="9" t="s">
        <v>1023</v>
      </c>
      <c r="T105" s="9" t="s">
        <v>1024</v>
      </c>
    </row>
    <row r="106" spans="1:20" ht="25.5" x14ac:dyDescent="0.25">
      <c r="A106" s="9">
        <v>104</v>
      </c>
      <c r="B106" s="9" t="s">
        <v>704</v>
      </c>
      <c r="C106" s="9" t="s">
        <v>705</v>
      </c>
      <c r="D106" s="9" t="s">
        <v>1212</v>
      </c>
      <c r="E106" s="9"/>
      <c r="F106" s="9"/>
      <c r="G106" s="9" t="s">
        <v>1207</v>
      </c>
      <c r="H106" s="9" t="s">
        <v>46</v>
      </c>
      <c r="I106" s="9"/>
      <c r="J106" s="9" t="s">
        <v>1020</v>
      </c>
      <c r="K106" s="9" t="s">
        <v>1021</v>
      </c>
      <c r="L106" s="9"/>
      <c r="M106" s="9"/>
      <c r="N106" s="9"/>
      <c r="O106" s="9"/>
      <c r="P106" s="9"/>
      <c r="Q106" s="9"/>
      <c r="R106" s="9"/>
      <c r="S106" s="9" t="s">
        <v>1023</v>
      </c>
      <c r="T106" s="9" t="s">
        <v>1024</v>
      </c>
    </row>
    <row r="107" spans="1:20" ht="25.5" x14ac:dyDescent="0.25">
      <c r="A107" s="9">
        <v>105</v>
      </c>
      <c r="B107" s="9" t="s">
        <v>704</v>
      </c>
      <c r="C107" s="9" t="s">
        <v>705</v>
      </c>
      <c r="D107" s="9" t="s">
        <v>1213</v>
      </c>
      <c r="E107" s="9"/>
      <c r="F107" s="9"/>
      <c r="G107" s="9" t="s">
        <v>1207</v>
      </c>
      <c r="H107" s="9" t="s">
        <v>46</v>
      </c>
      <c r="I107" s="9"/>
      <c r="J107" s="9" t="s">
        <v>1020</v>
      </c>
      <c r="K107" s="9" t="s">
        <v>1021</v>
      </c>
      <c r="L107" s="9"/>
      <c r="M107" s="9"/>
      <c r="N107" s="9"/>
      <c r="O107" s="9"/>
      <c r="P107" s="9"/>
      <c r="Q107" s="9"/>
      <c r="R107" s="9"/>
      <c r="S107" s="9" t="s">
        <v>1023</v>
      </c>
      <c r="T107" s="9" t="s">
        <v>1024</v>
      </c>
    </row>
    <row r="108" spans="1:20" ht="25.5" x14ac:dyDescent="0.25">
      <c r="A108" s="9">
        <v>106</v>
      </c>
      <c r="B108" s="9" t="s">
        <v>704</v>
      </c>
      <c r="C108" s="9" t="s">
        <v>705</v>
      </c>
      <c r="D108" s="9" t="s">
        <v>1214</v>
      </c>
      <c r="E108" s="9"/>
      <c r="F108" s="9"/>
      <c r="G108" s="9" t="s">
        <v>1215</v>
      </c>
      <c r="H108" s="9" t="s">
        <v>46</v>
      </c>
      <c r="I108" s="9"/>
      <c r="J108" s="9" t="s">
        <v>1020</v>
      </c>
      <c r="K108" s="9" t="s">
        <v>1021</v>
      </c>
      <c r="L108" s="9"/>
      <c r="M108" s="9"/>
      <c r="N108" s="9"/>
      <c r="O108" s="9"/>
      <c r="P108" s="9"/>
      <c r="Q108" s="9"/>
      <c r="R108" s="9"/>
      <c r="S108" s="9" t="s">
        <v>1023</v>
      </c>
      <c r="T108" s="9" t="s">
        <v>1024</v>
      </c>
    </row>
    <row r="109" spans="1:20" ht="76.5" x14ac:dyDescent="0.25">
      <c r="A109" s="9">
        <v>107</v>
      </c>
      <c r="B109" s="9" t="s">
        <v>388</v>
      </c>
      <c r="C109" s="9" t="s">
        <v>389</v>
      </c>
      <c r="D109" s="9" t="s">
        <v>1216</v>
      </c>
      <c r="E109" s="9"/>
      <c r="F109" s="9"/>
      <c r="G109" s="9" t="s">
        <v>1217</v>
      </c>
      <c r="H109" s="9" t="s">
        <v>46</v>
      </c>
      <c r="I109" s="9"/>
      <c r="J109" s="9" t="s">
        <v>1020</v>
      </c>
      <c r="K109" s="9" t="s">
        <v>1021</v>
      </c>
      <c r="L109" s="9"/>
      <c r="M109" s="9"/>
      <c r="N109" s="9"/>
      <c r="O109" s="9"/>
      <c r="P109" s="9" t="s">
        <v>1218</v>
      </c>
      <c r="Q109" s="9"/>
      <c r="R109" s="9"/>
      <c r="S109" s="9" t="s">
        <v>1023</v>
      </c>
      <c r="T109" s="9" t="s">
        <v>1024</v>
      </c>
    </row>
    <row r="110" spans="1:20" ht="25.5" x14ac:dyDescent="0.25">
      <c r="A110" s="9">
        <v>108</v>
      </c>
      <c r="B110" s="9" t="s">
        <v>801</v>
      </c>
      <c r="C110" s="9" t="s">
        <v>802</v>
      </c>
      <c r="D110" s="9" t="s">
        <v>1219</v>
      </c>
      <c r="E110" s="9"/>
      <c r="F110" s="9"/>
      <c r="G110" s="9" t="s">
        <v>1033</v>
      </c>
      <c r="H110" s="9" t="s">
        <v>46</v>
      </c>
      <c r="I110" s="9"/>
      <c r="J110" s="9" t="s">
        <v>1020</v>
      </c>
      <c r="K110" s="9" t="s">
        <v>1021</v>
      </c>
      <c r="L110" s="9"/>
      <c r="M110" s="9"/>
      <c r="N110" s="9"/>
      <c r="O110" s="9"/>
      <c r="P110" s="9" t="s">
        <v>1100</v>
      </c>
      <c r="Q110" s="9"/>
      <c r="R110" s="9"/>
      <c r="S110" s="9" t="s">
        <v>1023</v>
      </c>
      <c r="T110" s="9" t="s">
        <v>1024</v>
      </c>
    </row>
    <row r="111" spans="1:20" ht="153" x14ac:dyDescent="0.25">
      <c r="A111" s="9">
        <v>109</v>
      </c>
      <c r="B111" s="9" t="s">
        <v>901</v>
      </c>
      <c r="C111" s="9" t="s">
        <v>902</v>
      </c>
      <c r="D111" s="9" t="s">
        <v>1220</v>
      </c>
      <c r="E111" s="9"/>
      <c r="F111" s="9"/>
      <c r="G111" s="9"/>
      <c r="H111" s="9" t="s">
        <v>46</v>
      </c>
      <c r="I111" s="9"/>
      <c r="J111" s="9" t="s">
        <v>1020</v>
      </c>
      <c r="K111" s="9" t="s">
        <v>1021</v>
      </c>
      <c r="L111" s="9"/>
      <c r="M111" s="9"/>
      <c r="N111" s="9"/>
      <c r="O111" s="9"/>
      <c r="P111" s="9" t="s">
        <v>1170</v>
      </c>
      <c r="Q111" s="9"/>
      <c r="R111" s="9"/>
      <c r="S111" s="9" t="s">
        <v>1023</v>
      </c>
      <c r="T111" s="9" t="s">
        <v>1024</v>
      </c>
    </row>
    <row r="112" spans="1:20" ht="140.25" x14ac:dyDescent="0.25">
      <c r="A112" s="9">
        <v>110</v>
      </c>
      <c r="B112" s="9" t="s">
        <v>973</v>
      </c>
      <c r="C112" s="9" t="s">
        <v>974</v>
      </c>
      <c r="D112" s="9" t="s">
        <v>1221</v>
      </c>
      <c r="E112" s="9"/>
      <c r="F112" s="9"/>
      <c r="G112" s="9"/>
      <c r="H112" s="9" t="s">
        <v>46</v>
      </c>
      <c r="I112" s="9"/>
      <c r="J112" s="9" t="s">
        <v>1020</v>
      </c>
      <c r="K112" s="9" t="s">
        <v>1021</v>
      </c>
      <c r="L112" s="9"/>
      <c r="M112" s="9"/>
      <c r="N112" s="9"/>
      <c r="O112" s="9"/>
      <c r="P112" s="9" t="s">
        <v>1222</v>
      </c>
      <c r="Q112" s="9"/>
      <c r="R112" s="9"/>
      <c r="S112" s="9" t="s">
        <v>1023</v>
      </c>
      <c r="T112" s="9" t="s">
        <v>1024</v>
      </c>
    </row>
    <row r="113" spans="1:20" ht="140.25" x14ac:dyDescent="0.25">
      <c r="A113" s="9">
        <v>111</v>
      </c>
      <c r="B113" s="9" t="s">
        <v>973</v>
      </c>
      <c r="C113" s="9" t="s">
        <v>974</v>
      </c>
      <c r="D113" s="9" t="s">
        <v>1223</v>
      </c>
      <c r="E113" s="9"/>
      <c r="F113" s="9"/>
      <c r="G113" s="9"/>
      <c r="H113" s="9" t="s">
        <v>46</v>
      </c>
      <c r="I113" s="9"/>
      <c r="J113" s="9" t="s">
        <v>1020</v>
      </c>
      <c r="K113" s="9" t="s">
        <v>1021</v>
      </c>
      <c r="L113" s="9"/>
      <c r="M113" s="9"/>
      <c r="N113" s="9"/>
      <c r="O113" s="9"/>
      <c r="P113" s="9" t="s">
        <v>1126</v>
      </c>
      <c r="Q113" s="9"/>
      <c r="R113" s="9"/>
      <c r="S113" s="9" t="s">
        <v>1023</v>
      </c>
      <c r="T113" s="9" t="s">
        <v>1024</v>
      </c>
    </row>
    <row r="114" spans="1:20" ht="38.25" x14ac:dyDescent="0.25">
      <c r="A114" s="9">
        <v>112</v>
      </c>
      <c r="B114" s="9" t="s">
        <v>774</v>
      </c>
      <c r="C114" s="9" t="s">
        <v>775</v>
      </c>
      <c r="D114" s="9" t="s">
        <v>1224</v>
      </c>
      <c r="E114" s="9"/>
      <c r="F114" s="9"/>
      <c r="G114" s="9"/>
      <c r="H114" s="9" t="s">
        <v>46</v>
      </c>
      <c r="I114" s="9"/>
      <c r="J114" s="9" t="s">
        <v>1020</v>
      </c>
      <c r="K114" s="9" t="s">
        <v>1021</v>
      </c>
      <c r="L114" s="9"/>
      <c r="M114" s="9"/>
      <c r="N114" s="9"/>
      <c r="O114" s="9"/>
      <c r="P114" s="9" t="s">
        <v>1225</v>
      </c>
      <c r="Q114" s="9"/>
      <c r="R114" s="9"/>
      <c r="S114" s="9" t="s">
        <v>1023</v>
      </c>
      <c r="T114" s="9" t="s">
        <v>1024</v>
      </c>
    </row>
    <row r="115" spans="1:20" ht="140.25" x14ac:dyDescent="0.25">
      <c r="A115" s="9">
        <v>113</v>
      </c>
      <c r="B115" s="9" t="s">
        <v>388</v>
      </c>
      <c r="C115" s="9" t="s">
        <v>389</v>
      </c>
      <c r="D115" s="9" t="s">
        <v>1226</v>
      </c>
      <c r="E115" s="9"/>
      <c r="F115" s="9"/>
      <c r="G115" s="9"/>
      <c r="H115" s="9" t="s">
        <v>46</v>
      </c>
      <c r="I115" s="9"/>
      <c r="J115" s="9" t="s">
        <v>1020</v>
      </c>
      <c r="K115" s="9" t="s">
        <v>1021</v>
      </c>
      <c r="L115" s="9"/>
      <c r="M115" s="9"/>
      <c r="N115" s="9"/>
      <c r="O115" s="9"/>
      <c r="P115" s="9" t="s">
        <v>1108</v>
      </c>
      <c r="Q115" s="9"/>
      <c r="R115" s="9"/>
      <c r="S115" s="9" t="s">
        <v>1023</v>
      </c>
      <c r="T115" s="9" t="s">
        <v>1024</v>
      </c>
    </row>
    <row r="116" spans="1:20" ht="25.5" x14ac:dyDescent="0.25">
      <c r="A116" s="9">
        <v>114</v>
      </c>
      <c r="B116" s="9" t="s">
        <v>388</v>
      </c>
      <c r="C116" s="9" t="s">
        <v>389</v>
      </c>
      <c r="D116" s="9" t="s">
        <v>1227</v>
      </c>
      <c r="E116" s="9"/>
      <c r="F116" s="9"/>
      <c r="G116" s="9"/>
      <c r="H116" s="9" t="s">
        <v>46</v>
      </c>
      <c r="I116" s="9"/>
      <c r="J116" s="9" t="s">
        <v>1020</v>
      </c>
      <c r="K116" s="9" t="s">
        <v>1021</v>
      </c>
      <c r="L116" s="9"/>
      <c r="M116" s="9"/>
      <c r="N116" s="9"/>
      <c r="O116" s="9"/>
      <c r="P116" s="9" t="s">
        <v>1228</v>
      </c>
      <c r="Q116" s="9"/>
      <c r="R116" s="9"/>
      <c r="S116" s="9" t="s">
        <v>1023</v>
      </c>
      <c r="T116" s="9" t="s">
        <v>1024</v>
      </c>
    </row>
    <row r="117" spans="1:20" ht="38.25" x14ac:dyDescent="0.25">
      <c r="A117" s="9">
        <v>115</v>
      </c>
      <c r="B117" s="9" t="s">
        <v>774</v>
      </c>
      <c r="C117" s="9" t="s">
        <v>775</v>
      </c>
      <c r="D117" s="9" t="s">
        <v>1229</v>
      </c>
      <c r="E117" s="9"/>
      <c r="F117" s="9"/>
      <c r="G117" s="9"/>
      <c r="H117" s="9" t="s">
        <v>46</v>
      </c>
      <c r="I117" s="9"/>
      <c r="J117" s="9" t="s">
        <v>1020</v>
      </c>
      <c r="K117" s="9" t="s">
        <v>1021</v>
      </c>
      <c r="L117" s="9"/>
      <c r="M117" s="9"/>
      <c r="N117" s="9"/>
      <c r="O117" s="9"/>
      <c r="P117" s="9" t="s">
        <v>1230</v>
      </c>
      <c r="Q117" s="9"/>
      <c r="R117" s="9"/>
      <c r="S117" s="9" t="s">
        <v>1023</v>
      </c>
      <c r="T117" s="9" t="s">
        <v>1024</v>
      </c>
    </row>
    <row r="118" spans="1:20" ht="25.5" x14ac:dyDescent="0.25">
      <c r="A118" s="9">
        <v>116</v>
      </c>
      <c r="B118" s="9" t="s">
        <v>801</v>
      </c>
      <c r="C118" s="9" t="s">
        <v>802</v>
      </c>
      <c r="D118" s="9" t="s">
        <v>1231</v>
      </c>
      <c r="E118" s="9"/>
      <c r="F118" s="9"/>
      <c r="G118" s="9"/>
      <c r="H118" s="9" t="s">
        <v>46</v>
      </c>
      <c r="I118" s="9"/>
      <c r="J118" s="9" t="s">
        <v>1020</v>
      </c>
      <c r="K118" s="9" t="s">
        <v>1021</v>
      </c>
      <c r="L118" s="9"/>
      <c r="M118" s="9"/>
      <c r="N118" s="9"/>
      <c r="O118" s="9"/>
      <c r="P118" s="9" t="s">
        <v>1100</v>
      </c>
      <c r="Q118" s="9"/>
      <c r="R118" s="9"/>
      <c r="S118" s="9" t="s">
        <v>1023</v>
      </c>
      <c r="T118" s="9" t="s">
        <v>1024</v>
      </c>
    </row>
    <row r="119" spans="1:20" ht="140.25" x14ac:dyDescent="0.25">
      <c r="A119" s="9">
        <v>117</v>
      </c>
      <c r="B119" s="9" t="s">
        <v>421</v>
      </c>
      <c r="C119" s="9" t="s">
        <v>422</v>
      </c>
      <c r="D119" s="9" t="s">
        <v>1232</v>
      </c>
      <c r="E119" s="9"/>
      <c r="F119" s="9"/>
      <c r="G119" s="9"/>
      <c r="H119" s="9" t="s">
        <v>46</v>
      </c>
      <c r="I119" s="9"/>
      <c r="J119" s="9" t="s">
        <v>1020</v>
      </c>
      <c r="K119" s="9" t="s">
        <v>1021</v>
      </c>
      <c r="L119" s="9"/>
      <c r="M119" s="9"/>
      <c r="N119" s="9"/>
      <c r="O119" s="9"/>
      <c r="P119" s="9" t="s">
        <v>1165</v>
      </c>
      <c r="Q119" s="9"/>
      <c r="R119" s="9"/>
      <c r="S119" s="9" t="s">
        <v>1023</v>
      </c>
      <c r="T119" s="9" t="s">
        <v>1024</v>
      </c>
    </row>
    <row r="120" spans="1:20" ht="38.25" x14ac:dyDescent="0.25">
      <c r="A120" s="9">
        <v>118</v>
      </c>
      <c r="B120" s="9" t="s">
        <v>331</v>
      </c>
      <c r="C120" s="9" t="s">
        <v>332</v>
      </c>
      <c r="D120" s="9" t="s">
        <v>1233</v>
      </c>
      <c r="E120" s="9"/>
      <c r="F120" s="9"/>
      <c r="G120" s="9"/>
      <c r="H120" s="9" t="s">
        <v>46</v>
      </c>
      <c r="I120" s="9"/>
      <c r="J120" s="9" t="s">
        <v>1020</v>
      </c>
      <c r="K120" s="9" t="s">
        <v>1021</v>
      </c>
      <c r="L120" s="9"/>
      <c r="M120" s="9"/>
      <c r="N120" s="9"/>
      <c r="O120" s="9"/>
      <c r="P120" s="9" t="s">
        <v>1103</v>
      </c>
      <c r="Q120" s="9"/>
      <c r="R120" s="9"/>
      <c r="S120" s="9" t="s">
        <v>1023</v>
      </c>
      <c r="T120" s="9" t="s">
        <v>1024</v>
      </c>
    </row>
    <row r="121" spans="1:20" ht="38.25" x14ac:dyDescent="0.25">
      <c r="A121" s="9">
        <v>119</v>
      </c>
      <c r="B121" s="9" t="s">
        <v>951</v>
      </c>
      <c r="C121" s="9" t="s">
        <v>952</v>
      </c>
      <c r="D121" s="9" t="s">
        <v>1234</v>
      </c>
      <c r="E121" s="9"/>
      <c r="F121" s="9"/>
      <c r="G121" s="9"/>
      <c r="H121" s="9" t="s">
        <v>46</v>
      </c>
      <c r="I121" s="9"/>
      <c r="J121" s="9" t="s">
        <v>1020</v>
      </c>
      <c r="K121" s="9" t="s">
        <v>1021</v>
      </c>
      <c r="L121" s="9"/>
      <c r="M121" s="9"/>
      <c r="N121" s="9"/>
      <c r="O121" s="9"/>
      <c r="P121" s="9" t="s">
        <v>1122</v>
      </c>
      <c r="Q121" s="9"/>
      <c r="R121" s="9"/>
      <c r="S121" s="9" t="s">
        <v>1023</v>
      </c>
      <c r="T121" s="9" t="s">
        <v>1024</v>
      </c>
    </row>
    <row r="122" spans="1:20" ht="38.25" x14ac:dyDescent="0.25">
      <c r="A122" s="9">
        <v>120</v>
      </c>
      <c r="B122" s="9" t="s">
        <v>622</v>
      </c>
      <c r="C122" s="9" t="s">
        <v>623</v>
      </c>
      <c r="D122" s="9" t="s">
        <v>625</v>
      </c>
      <c r="E122" s="9"/>
      <c r="F122" s="9"/>
      <c r="G122" s="9"/>
      <c r="H122" s="9" t="s">
        <v>46</v>
      </c>
      <c r="I122" s="9"/>
      <c r="J122" s="9" t="s">
        <v>1020</v>
      </c>
      <c r="K122" s="9" t="s">
        <v>1021</v>
      </c>
      <c r="L122" s="9"/>
      <c r="M122" s="9"/>
      <c r="N122" s="9"/>
      <c r="O122" s="9"/>
      <c r="P122" s="9" t="s">
        <v>1090</v>
      </c>
      <c r="Q122" s="9"/>
      <c r="R122" s="9"/>
      <c r="S122" s="9" t="s">
        <v>1023</v>
      </c>
      <c r="T122" s="9" t="s">
        <v>1024</v>
      </c>
    </row>
    <row r="123" spans="1:20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1:20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spans="1:20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1:20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spans="1:20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spans="1:20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1:20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spans="1:20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1:20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spans="1:20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1:20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spans="1:20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1:20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1:20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spans="1:20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spans="1:20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1:20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1:20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1:20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spans="1:20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1:20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1:20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1:20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spans="1:20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1:20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spans="1:20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1:20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spans="1:20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spans="1:20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spans="1:20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1:20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1:20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spans="1:20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0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spans="1:20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1:20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spans="1:20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spans="1:20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spans="1:20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1:20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spans="1:20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1:20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spans="1:20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spans="1:20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1:20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spans="1:20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spans="1:20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spans="1:20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spans="1:20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1:20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spans="1:20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spans="1:20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1:20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spans="1:20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spans="1:20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spans="1:20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1:20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spans="1:20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spans="1:20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spans="1:20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1:20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spans="1:20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spans="1:20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1:20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spans="1:20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spans="1:20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spans="1:20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1:20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spans="1:20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1:20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spans="1:20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1:20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spans="1:20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1:20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spans="1:20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spans="1:20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spans="1:20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spans="1:20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spans="1:20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spans="1:20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spans="1:20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spans="1:20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spans="1:20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spans="1:20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spans="1:20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spans="1:20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spans="1:20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spans="1:20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spans="1:20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spans="1:20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spans="1:20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spans="1:20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spans="1:20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spans="1:20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spans="1:20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spans="1:20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spans="1:20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spans="1:20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spans="1:20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spans="1:20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spans="1:20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spans="1:20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spans="1:20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spans="1:20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spans="1:20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spans="1:20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spans="1:20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spans="1:20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spans="1:20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spans="1:20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spans="1:20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spans="1:20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spans="1:20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spans="1:20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spans="1:20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spans="1:20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spans="1:20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spans="1:20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spans="1:20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spans="1:20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spans="1:20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spans="1:20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spans="1:20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spans="1:20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spans="1:20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spans="1:20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spans="1:20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spans="1:20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spans="1:20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spans="1:20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spans="1:20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spans="1:20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spans="1:20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spans="1:20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spans="1:20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spans="1:20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spans="1:20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spans="1:20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spans="1:20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spans="1:20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spans="1:20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spans="1:20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spans="1:20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spans="1:20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spans="1:20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spans="1:20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spans="1:20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spans="1:20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spans="1:20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spans="1:20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spans="1:20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spans="1:20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spans="1:20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spans="1:20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spans="1:20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spans="1:20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spans="1:20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spans="1:20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spans="1:20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spans="1:20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spans="1:20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spans="1:20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spans="1:20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spans="1:20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spans="1:20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spans="1:20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spans="1:20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spans="1:20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spans="1:20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spans="1:20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spans="1:20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spans="1:20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spans="1:20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spans="1:20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spans="1:20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spans="1:20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spans="1:20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spans="1:20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spans="1:20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spans="1:20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spans="1:20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spans="1:20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spans="1:20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spans="1:20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spans="1:20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spans="1:20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spans="1:20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spans="1:20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spans="1:20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spans="1:20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spans="1:20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spans="1:20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spans="1:20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spans="1:20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spans="1:20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spans="1:20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spans="1:20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spans="1:20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spans="1:20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spans="1:20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spans="1:20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spans="1:20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spans="1:20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spans="1:20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spans="1:20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spans="1:20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spans="1:20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spans="1:20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spans="1:20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spans="1:20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spans="1:20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spans="1:20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spans="1:20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spans="1:20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spans="1:20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spans="1:20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spans="1:20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spans="1:20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spans="1:20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spans="1:20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spans="1:20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spans="1:20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spans="1:20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spans="1:20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spans="1:20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spans="1:20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spans="1:20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spans="1:20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spans="1:20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spans="1:20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spans="1:20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spans="1:20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spans="1:20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spans="1:20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spans="1:20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spans="1:20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spans="1:20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spans="1:20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spans="1:20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spans="1:20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spans="1:20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spans="1:20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spans="1:20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spans="1:20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spans="1:20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spans="1:20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spans="1:20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spans="1:20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spans="1:20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spans="1:20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spans="1:20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spans="1:20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spans="1:20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spans="1:20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spans="1:20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spans="1:20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spans="1:20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spans="1:20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spans="1:20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spans="1:20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spans="1:20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spans="1:20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spans="1:20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spans="1:20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spans="1:20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spans="1:20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spans="1:20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spans="1:20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spans="1:20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spans="1:20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spans="1:20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spans="1:20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spans="1:20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spans="1:20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spans="1:20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spans="1:20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spans="1:20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spans="1:20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spans="1:20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spans="1:20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spans="1:20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spans="1:20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spans="1:20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spans="1:20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spans="1:20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spans="1:20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spans="1:20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spans="1:20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spans="1:20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spans="1:20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spans="1:20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spans="1:20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spans="1:20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spans="1:20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spans="1:20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spans="1:20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spans="1:20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spans="1:20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spans="1:20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spans="1:20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</sheetData>
  <mergeCells count="6">
    <mergeCell ref="I1:J1"/>
    <mergeCell ref="A1:D1"/>
    <mergeCell ref="S1:T1"/>
    <mergeCell ref="E1:H1"/>
    <mergeCell ref="K1:N1"/>
    <mergeCell ref="O1:R1"/>
  </mergeCells>
  <conditionalFormatting sqref="A3:T500">
    <cfRule type="expression" dxfId="35" priority="7">
      <formula>AND($R3&lt;&gt;"",$R3&lt;TODAY(),$S3&lt;&gt;"Resolved")</formula>
    </cfRule>
  </conditionalFormatting>
  <conditionalFormatting sqref="H3:H500">
    <cfRule type="expression" dxfId="34" priority="2">
      <formula>$H3="Critical"</formula>
    </cfRule>
    <cfRule type="expression" dxfId="33" priority="3">
      <formula>$H3="High"</formula>
    </cfRule>
  </conditionalFormatting>
  <conditionalFormatting sqref="J3:J500">
    <cfRule type="expression" dxfId="32" priority="6">
      <formula>$J3="Yes"</formula>
    </cfRule>
  </conditionalFormatting>
  <conditionalFormatting sqref="K3:K500">
    <cfRule type="expression" dxfId="31" priority="4">
      <formula>$K3="Under Investigation"</formula>
    </cfRule>
  </conditionalFormatting>
  <conditionalFormatting sqref="S3:S500">
    <cfRule type="expression" dxfId="30" priority="5">
      <formula>$S3="Open"</formula>
    </cfRule>
  </conditionalFormatting>
  <dataValidations count="9">
    <dataValidation type="list" allowBlank="1" showErrorMessage="1" errorTitle="Invalid entry" error="Please choose a value from the drop-down list." sqref="E3:E500" xr:uid="{00000000-0002-0000-0400-000000000000}">
      <formula1>"2.0,3.0,3.1,4.0"</formula1>
      <formula2>0</formula2>
    </dataValidation>
    <dataValidation type="list" allowBlank="1" showErrorMessage="1" errorTitle="Invalid entry" error="Please choose a value from the drop-down list." sqref="H3:H500" xr:uid="{00000000-0002-0000-0400-000001000000}">
      <formula1>"Critical,High,Medium,Low,None"</formula1>
      <formula2>0</formula2>
    </dataValidation>
    <dataValidation type="list" allowBlank="1" showErrorMessage="1" errorTitle="Invalid entry" error="Please choose a value from the drop-down list." sqref="J3:J500" xr:uid="{00000000-0002-0000-0400-000002000000}">
      <formula1>"Yes,No,Unknown"</formula1>
      <formula2>0</formula2>
    </dataValidation>
    <dataValidation type="list" allowBlank="1" showErrorMessage="1" errorTitle="Invalid entry" error="Please choose a value from the drop-down list." sqref="K3:K500" xr:uid="{00000000-0002-0000-0400-000003000000}">
      <formula1>"Not Affected,Affected,Fixed,Under Investigation"</formula1>
      <formula2>0</formula2>
    </dataValidation>
    <dataValidation type="list" allowBlank="1" showInputMessage="1" showErrorMessage="1" errorTitle="Invalid entry" error="Please choose a value from the drop-down list." prompt="Required by FDA/VEX convention when VEX Status = Not Affected or Fixed." sqref="L3:L500" xr:uid="{00000000-0002-0000-0400-000004000000}">
      <formula1>"component_not_present,vulnerable_code_not_present,vulnerable_code_not_in_execute_path,vulnerable_code_cannot_be_controlled_by_adversary,inline_mitigations_already_exist"</formula1>
      <formula2>0</formula2>
    </dataValidation>
    <dataValidation type="list" allowBlank="1" showErrorMessage="1" errorTitle="Invalid entry" error="Please choose a value from the drop-down list." sqref="M3:M500" xr:uid="{00000000-0002-0000-0400-000005000000}">
      <formula1>"None,Low,Medium,High,Critical"</formula1>
      <formula2>0</formula2>
    </dataValidation>
    <dataValidation type="list" allowBlank="1" showErrorMessage="1" errorTitle="Invalid entry" error="Please choose a value from the drop-down list." sqref="N3:N500" xr:uid="{00000000-0002-0000-0400-000006000000}">
      <formula1>"Actively Exploited (CISA KEV),Public PoC Available,Weaponized,Theoretical,None Known"</formula1>
      <formula2>0</formula2>
    </dataValidation>
    <dataValidation type="list" allowBlank="1" showErrorMessage="1" errorTitle="Invalid entry" error="Please choose a value from the drop-down list." sqref="S3:S500" xr:uid="{00000000-0002-0000-0400-000007000000}">
      <formula1>"Open,In Progress,Resolved,Risk Accepted"</formula1>
      <formula2>0</formula2>
    </dataValidation>
    <dataValidation type="date" operator="greaterThan" allowBlank="1" showErrorMessage="1" errorTitle="Invalid date" error="Enter a real date (YYYY-MM-DD)." sqref="R3:R500" xr:uid="{00000000-0002-0000-0400-000008000000}">
      <formula1>DATE(1990,1,1)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 &amp;K008000 Classification: Internal#_x000D_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XFD3"/>
    </sheetView>
  </sheetViews>
  <sheetFormatPr defaultColWidth="8.5703125" defaultRowHeight="15" x14ac:dyDescent="0.25"/>
  <cols>
    <col min="1" max="1" width="6" customWidth="1"/>
    <col min="2" max="2" width="20" customWidth="1"/>
    <col min="3" max="3" width="12" customWidth="1"/>
    <col min="4" max="4" width="22" customWidth="1"/>
    <col min="5" max="5" width="18" customWidth="1"/>
    <col min="6" max="7" width="13" customWidth="1"/>
    <col min="8" max="8" width="11" customWidth="1"/>
    <col min="9" max="9" width="14" customWidth="1"/>
    <col min="10" max="10" width="28" customWidth="1"/>
    <col min="11" max="11" width="26" customWidth="1"/>
    <col min="12" max="12" width="22" customWidth="1"/>
    <col min="13" max="13" width="18" customWidth="1"/>
    <col min="14" max="15" width="14" customWidth="1"/>
  </cols>
  <sheetData>
    <row r="1" spans="1:15" ht="30" customHeight="1" x14ac:dyDescent="0.25">
      <c r="A1" s="19" t="s">
        <v>1235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</row>
    <row r="2" spans="1:15" ht="26.1" customHeight="1" x14ac:dyDescent="0.25">
      <c r="A2" s="4" t="s">
        <v>8</v>
      </c>
      <c r="B2" s="4" t="s">
        <v>9</v>
      </c>
      <c r="C2" s="4" t="s">
        <v>10</v>
      </c>
      <c r="D2" s="4" t="s">
        <v>1236</v>
      </c>
      <c r="E2" s="4" t="s">
        <v>1237</v>
      </c>
      <c r="F2" s="4" t="s">
        <v>280</v>
      </c>
      <c r="G2" s="4" t="s">
        <v>281</v>
      </c>
      <c r="H2" s="4" t="s">
        <v>29</v>
      </c>
      <c r="I2" s="4" t="s">
        <v>1238</v>
      </c>
      <c r="J2" s="4" t="s">
        <v>1239</v>
      </c>
      <c r="K2" s="4" t="s">
        <v>1240</v>
      </c>
      <c r="L2" s="4" t="s">
        <v>1241</v>
      </c>
      <c r="M2" s="4" t="s">
        <v>1242</v>
      </c>
      <c r="N2" s="4" t="s">
        <v>1243</v>
      </c>
      <c r="O2" s="4" t="s">
        <v>1015</v>
      </c>
    </row>
    <row r="3" spans="1:15" ht="25.5" x14ac:dyDescent="0.25">
      <c r="A3" s="9">
        <v>1</v>
      </c>
      <c r="B3" s="9" t="s">
        <v>284</v>
      </c>
      <c r="C3" s="9" t="s">
        <v>285</v>
      </c>
      <c r="D3" s="9" t="s">
        <v>41</v>
      </c>
      <c r="E3" s="9" t="s">
        <v>287</v>
      </c>
      <c r="F3" s="18">
        <v>49059</v>
      </c>
      <c r="G3" s="18">
        <v>47269</v>
      </c>
      <c r="H3" s="9">
        <f t="shared" ref="H3:H66" ca="1" si="0">IF(F3="","",F3-TODAY())</f>
        <v>2786</v>
      </c>
      <c r="I3" s="9" t="s">
        <v>1026</v>
      </c>
      <c r="J3" s="9"/>
      <c r="K3" s="9"/>
      <c r="L3" s="9"/>
      <c r="M3" s="9"/>
      <c r="N3" s="9"/>
      <c r="O3" s="9" t="s">
        <v>1244</v>
      </c>
    </row>
    <row r="4" spans="1:15" ht="25.5" x14ac:dyDescent="0.25">
      <c r="A4" s="9">
        <v>2</v>
      </c>
      <c r="B4" s="9" t="s">
        <v>289</v>
      </c>
      <c r="C4" s="9" t="s">
        <v>290</v>
      </c>
      <c r="D4" s="9" t="s">
        <v>41</v>
      </c>
      <c r="E4" s="9" t="s">
        <v>287</v>
      </c>
      <c r="F4" s="18">
        <v>49059</v>
      </c>
      <c r="G4" s="18">
        <v>47269</v>
      </c>
      <c r="H4" s="9">
        <f t="shared" ca="1" si="0"/>
        <v>2786</v>
      </c>
      <c r="I4" s="9" t="s">
        <v>1026</v>
      </c>
      <c r="J4" s="9"/>
      <c r="K4" s="9"/>
      <c r="L4" s="9"/>
      <c r="M4" s="9"/>
      <c r="N4" s="9"/>
      <c r="O4" s="9" t="s">
        <v>1244</v>
      </c>
    </row>
    <row r="5" spans="1:15" x14ac:dyDescent="0.25">
      <c r="A5" s="9">
        <v>3</v>
      </c>
      <c r="B5" s="9" t="s">
        <v>292</v>
      </c>
      <c r="C5" s="9" t="s">
        <v>293</v>
      </c>
      <c r="D5" s="9" t="s">
        <v>41</v>
      </c>
      <c r="E5" s="9" t="s">
        <v>287</v>
      </c>
      <c r="F5" s="18">
        <v>49059</v>
      </c>
      <c r="G5" s="18">
        <v>47269</v>
      </c>
      <c r="H5" s="9">
        <f t="shared" ca="1" si="0"/>
        <v>2786</v>
      </c>
      <c r="I5" s="9" t="s">
        <v>1026</v>
      </c>
      <c r="J5" s="9"/>
      <c r="K5" s="9"/>
      <c r="L5" s="9"/>
      <c r="M5" s="9"/>
      <c r="N5" s="9"/>
      <c r="O5" s="9" t="s">
        <v>1244</v>
      </c>
    </row>
    <row r="6" spans="1:15" x14ac:dyDescent="0.25">
      <c r="A6" s="9">
        <v>4</v>
      </c>
      <c r="B6" s="9" t="s">
        <v>295</v>
      </c>
      <c r="C6" s="9" t="s">
        <v>293</v>
      </c>
      <c r="D6" s="9" t="s">
        <v>41</v>
      </c>
      <c r="E6" s="9" t="s">
        <v>287</v>
      </c>
      <c r="F6" s="18">
        <v>49059</v>
      </c>
      <c r="G6" s="18">
        <v>47269</v>
      </c>
      <c r="H6" s="9">
        <f t="shared" ca="1" si="0"/>
        <v>2786</v>
      </c>
      <c r="I6" s="9" t="s">
        <v>1026</v>
      </c>
      <c r="J6" s="9"/>
      <c r="K6" s="9"/>
      <c r="L6" s="9"/>
      <c r="M6" s="9"/>
      <c r="N6" s="9"/>
      <c r="O6" s="9" t="s">
        <v>1244</v>
      </c>
    </row>
    <row r="7" spans="1:15" x14ac:dyDescent="0.25">
      <c r="A7" s="9">
        <v>5</v>
      </c>
      <c r="B7" s="9" t="s">
        <v>297</v>
      </c>
      <c r="C7" s="9" t="s">
        <v>293</v>
      </c>
      <c r="D7" s="9" t="s">
        <v>41</v>
      </c>
      <c r="E7" s="9" t="s">
        <v>287</v>
      </c>
      <c r="F7" s="18">
        <v>49059</v>
      </c>
      <c r="G7" s="18">
        <v>47269</v>
      </c>
      <c r="H7" s="9">
        <f t="shared" ca="1" si="0"/>
        <v>2786</v>
      </c>
      <c r="I7" s="9" t="s">
        <v>1026</v>
      </c>
      <c r="J7" s="9"/>
      <c r="K7" s="9"/>
      <c r="L7" s="9"/>
      <c r="M7" s="9"/>
      <c r="N7" s="9"/>
      <c r="O7" s="9" t="s">
        <v>1244</v>
      </c>
    </row>
    <row r="8" spans="1:15" ht="25.5" x14ac:dyDescent="0.25">
      <c r="A8" s="9">
        <v>6</v>
      </c>
      <c r="B8" s="9" t="s">
        <v>299</v>
      </c>
      <c r="C8" s="9" t="s">
        <v>300</v>
      </c>
      <c r="D8" s="9" t="s">
        <v>41</v>
      </c>
      <c r="E8" s="9" t="s">
        <v>287</v>
      </c>
      <c r="F8" s="18">
        <v>49059</v>
      </c>
      <c r="G8" s="18">
        <v>47269</v>
      </c>
      <c r="H8" s="9">
        <f t="shared" ca="1" si="0"/>
        <v>2786</v>
      </c>
      <c r="I8" s="9" t="s">
        <v>1026</v>
      </c>
      <c r="J8" s="9"/>
      <c r="K8" s="9"/>
      <c r="L8" s="9"/>
      <c r="M8" s="9"/>
      <c r="N8" s="9"/>
      <c r="O8" s="9" t="s">
        <v>1244</v>
      </c>
    </row>
    <row r="9" spans="1:15" ht="25.5" x14ac:dyDescent="0.25">
      <c r="A9" s="9">
        <v>7</v>
      </c>
      <c r="B9" s="9" t="s">
        <v>302</v>
      </c>
      <c r="C9" s="9" t="s">
        <v>303</v>
      </c>
      <c r="D9" s="9" t="s">
        <v>41</v>
      </c>
      <c r="E9" s="9" t="s">
        <v>287</v>
      </c>
      <c r="F9" s="18">
        <v>49059</v>
      </c>
      <c r="G9" s="18">
        <v>47269</v>
      </c>
      <c r="H9" s="9">
        <f t="shared" ca="1" si="0"/>
        <v>2786</v>
      </c>
      <c r="I9" s="9" t="s">
        <v>1026</v>
      </c>
      <c r="J9" s="9"/>
      <c r="K9" s="9"/>
      <c r="L9" s="9"/>
      <c r="M9" s="9"/>
      <c r="N9" s="9"/>
      <c r="O9" s="9" t="s">
        <v>1244</v>
      </c>
    </row>
    <row r="10" spans="1:15" ht="25.5" x14ac:dyDescent="0.25">
      <c r="A10" s="9">
        <v>8</v>
      </c>
      <c r="B10" s="9" t="s">
        <v>305</v>
      </c>
      <c r="C10" s="9" t="s">
        <v>303</v>
      </c>
      <c r="D10" s="9" t="s">
        <v>41</v>
      </c>
      <c r="E10" s="9" t="s">
        <v>287</v>
      </c>
      <c r="F10" s="18">
        <v>49059</v>
      </c>
      <c r="G10" s="18">
        <v>47269</v>
      </c>
      <c r="H10" s="9">
        <f t="shared" ca="1" si="0"/>
        <v>2786</v>
      </c>
      <c r="I10" s="9" t="s">
        <v>1026</v>
      </c>
      <c r="J10" s="9"/>
      <c r="K10" s="9"/>
      <c r="L10" s="9"/>
      <c r="M10" s="9"/>
      <c r="N10" s="9"/>
      <c r="O10" s="9" t="s">
        <v>1244</v>
      </c>
    </row>
    <row r="11" spans="1:15" ht="25.5" x14ac:dyDescent="0.25">
      <c r="A11" s="9">
        <v>9</v>
      </c>
      <c r="B11" s="9" t="s">
        <v>307</v>
      </c>
      <c r="C11" s="9" t="s">
        <v>308</v>
      </c>
      <c r="D11" s="9" t="s">
        <v>41</v>
      </c>
      <c r="E11" s="9" t="s">
        <v>287</v>
      </c>
      <c r="F11" s="18">
        <v>49059</v>
      </c>
      <c r="G11" s="18">
        <v>47269</v>
      </c>
      <c r="H11" s="9">
        <f t="shared" ca="1" si="0"/>
        <v>2786</v>
      </c>
      <c r="I11" s="9" t="s">
        <v>1026</v>
      </c>
      <c r="J11" s="9"/>
      <c r="K11" s="9"/>
      <c r="L11" s="9"/>
      <c r="M11" s="9"/>
      <c r="N11" s="9"/>
      <c r="O11" s="9" t="s">
        <v>1244</v>
      </c>
    </row>
    <row r="12" spans="1:15" x14ac:dyDescent="0.25">
      <c r="A12" s="9">
        <v>10</v>
      </c>
      <c r="B12" s="9" t="s">
        <v>310</v>
      </c>
      <c r="C12" s="9" t="s">
        <v>311</v>
      </c>
      <c r="D12" s="9" t="s">
        <v>41</v>
      </c>
      <c r="E12" s="9" t="s">
        <v>287</v>
      </c>
      <c r="F12" s="18">
        <v>49059</v>
      </c>
      <c r="G12" s="18">
        <v>47269</v>
      </c>
      <c r="H12" s="9">
        <f t="shared" ca="1" si="0"/>
        <v>2786</v>
      </c>
      <c r="I12" s="9" t="s">
        <v>1026</v>
      </c>
      <c r="J12" s="9"/>
      <c r="K12" s="9"/>
      <c r="L12" s="9"/>
      <c r="M12" s="9"/>
      <c r="N12" s="9"/>
      <c r="O12" s="9" t="s">
        <v>1244</v>
      </c>
    </row>
    <row r="13" spans="1:15" ht="25.5" x14ac:dyDescent="0.25">
      <c r="A13" s="9">
        <v>11</v>
      </c>
      <c r="B13" s="9" t="s">
        <v>313</v>
      </c>
      <c r="C13" s="9" t="s">
        <v>314</v>
      </c>
      <c r="D13" s="9" t="s">
        <v>41</v>
      </c>
      <c r="E13" s="9" t="s">
        <v>287</v>
      </c>
      <c r="F13" s="18">
        <v>49059</v>
      </c>
      <c r="G13" s="18">
        <v>47269</v>
      </c>
      <c r="H13" s="9">
        <f t="shared" ca="1" si="0"/>
        <v>2786</v>
      </c>
      <c r="I13" s="9" t="s">
        <v>1026</v>
      </c>
      <c r="J13" s="9"/>
      <c r="K13" s="9"/>
      <c r="L13" s="9"/>
      <c r="M13" s="9"/>
      <c r="N13" s="9"/>
      <c r="O13" s="9" t="s">
        <v>1244</v>
      </c>
    </row>
    <row r="14" spans="1:15" ht="25.5" x14ac:dyDescent="0.25">
      <c r="A14" s="9">
        <v>12</v>
      </c>
      <c r="B14" s="9" t="s">
        <v>316</v>
      </c>
      <c r="C14" s="9" t="s">
        <v>317</v>
      </c>
      <c r="D14" s="9" t="s">
        <v>41</v>
      </c>
      <c r="E14" s="9" t="s">
        <v>287</v>
      </c>
      <c r="F14" s="18">
        <v>49059</v>
      </c>
      <c r="G14" s="18">
        <v>47269</v>
      </c>
      <c r="H14" s="9">
        <f t="shared" ca="1" si="0"/>
        <v>2786</v>
      </c>
      <c r="I14" s="9" t="s">
        <v>1026</v>
      </c>
      <c r="J14" s="9"/>
      <c r="K14" s="9"/>
      <c r="L14" s="9"/>
      <c r="M14" s="9"/>
      <c r="N14" s="9"/>
      <c r="O14" s="9" t="s">
        <v>1244</v>
      </c>
    </row>
    <row r="15" spans="1:15" x14ac:dyDescent="0.25">
      <c r="A15" s="9">
        <v>13</v>
      </c>
      <c r="B15" s="9" t="s">
        <v>319</v>
      </c>
      <c r="C15" s="9" t="s">
        <v>320</v>
      </c>
      <c r="D15" s="9" t="s">
        <v>41</v>
      </c>
      <c r="E15" s="9" t="s">
        <v>287</v>
      </c>
      <c r="F15" s="18">
        <v>49059</v>
      </c>
      <c r="G15" s="18">
        <v>47269</v>
      </c>
      <c r="H15" s="9">
        <f t="shared" ca="1" si="0"/>
        <v>2786</v>
      </c>
      <c r="I15" s="9" t="s">
        <v>1026</v>
      </c>
      <c r="J15" s="9"/>
      <c r="K15" s="9"/>
      <c r="L15" s="9"/>
      <c r="M15" s="9"/>
      <c r="N15" s="9"/>
      <c r="O15" s="9" t="s">
        <v>1244</v>
      </c>
    </row>
    <row r="16" spans="1:15" ht="25.5" x14ac:dyDescent="0.25">
      <c r="A16" s="9">
        <v>14</v>
      </c>
      <c r="B16" s="9" t="s">
        <v>322</v>
      </c>
      <c r="C16" s="9" t="s">
        <v>323</v>
      </c>
      <c r="D16" s="9" t="s">
        <v>41</v>
      </c>
      <c r="E16" s="9" t="s">
        <v>287</v>
      </c>
      <c r="F16" s="18">
        <v>49059</v>
      </c>
      <c r="G16" s="18">
        <v>47269</v>
      </c>
      <c r="H16" s="9">
        <f t="shared" ca="1" si="0"/>
        <v>2786</v>
      </c>
      <c r="I16" s="9" t="s">
        <v>1026</v>
      </c>
      <c r="J16" s="9"/>
      <c r="K16" s="9"/>
      <c r="L16" s="9"/>
      <c r="M16" s="9"/>
      <c r="N16" s="9"/>
      <c r="O16" s="9" t="s">
        <v>1244</v>
      </c>
    </row>
    <row r="17" spans="1:15" ht="25.5" x14ac:dyDescent="0.25">
      <c r="A17" s="9">
        <v>15</v>
      </c>
      <c r="B17" s="9" t="s">
        <v>325</v>
      </c>
      <c r="C17" s="9" t="s">
        <v>326</v>
      </c>
      <c r="D17" s="9" t="s">
        <v>41</v>
      </c>
      <c r="E17" s="9" t="s">
        <v>287</v>
      </c>
      <c r="F17" s="18">
        <v>49059</v>
      </c>
      <c r="G17" s="18">
        <v>47269</v>
      </c>
      <c r="H17" s="9">
        <f t="shared" ca="1" si="0"/>
        <v>2786</v>
      </c>
      <c r="I17" s="9" t="s">
        <v>1026</v>
      </c>
      <c r="J17" s="9"/>
      <c r="K17" s="9"/>
      <c r="L17" s="9"/>
      <c r="M17" s="9"/>
      <c r="N17" s="9"/>
      <c r="O17" s="9" t="s">
        <v>1244</v>
      </c>
    </row>
    <row r="18" spans="1:15" ht="25.5" x14ac:dyDescent="0.25">
      <c r="A18" s="9">
        <v>16</v>
      </c>
      <c r="B18" s="9" t="s">
        <v>328</v>
      </c>
      <c r="C18" s="9" t="s">
        <v>329</v>
      </c>
      <c r="D18" s="9" t="s">
        <v>41</v>
      </c>
      <c r="E18" s="9" t="s">
        <v>287</v>
      </c>
      <c r="F18" s="18">
        <v>49059</v>
      </c>
      <c r="G18" s="18">
        <v>47269</v>
      </c>
      <c r="H18" s="9">
        <f t="shared" ca="1" si="0"/>
        <v>2786</v>
      </c>
      <c r="I18" s="9" t="s">
        <v>1026</v>
      </c>
      <c r="J18" s="9"/>
      <c r="K18" s="9"/>
      <c r="L18" s="9"/>
      <c r="M18" s="9"/>
      <c r="N18" s="9"/>
      <c r="O18" s="9" t="s">
        <v>1244</v>
      </c>
    </row>
    <row r="19" spans="1:15" ht="25.5" x14ac:dyDescent="0.25">
      <c r="A19" s="9">
        <v>17</v>
      </c>
      <c r="B19" s="9" t="s">
        <v>331</v>
      </c>
      <c r="C19" s="9" t="s">
        <v>332</v>
      </c>
      <c r="D19" s="9" t="s">
        <v>41</v>
      </c>
      <c r="E19" s="9" t="s">
        <v>287</v>
      </c>
      <c r="F19" s="18">
        <v>49059</v>
      </c>
      <c r="G19" s="18">
        <v>47269</v>
      </c>
      <c r="H19" s="9">
        <f t="shared" ca="1" si="0"/>
        <v>2786</v>
      </c>
      <c r="I19" s="9" t="s">
        <v>1026</v>
      </c>
      <c r="J19" s="9"/>
      <c r="K19" s="9"/>
      <c r="L19" s="9"/>
      <c r="M19" s="9"/>
      <c r="N19" s="9"/>
      <c r="O19" s="9" t="s">
        <v>1244</v>
      </c>
    </row>
    <row r="20" spans="1:15" ht="25.5" x14ac:dyDescent="0.25">
      <c r="A20" s="9">
        <v>18</v>
      </c>
      <c r="B20" s="9" t="s">
        <v>335</v>
      </c>
      <c r="C20" s="9" t="s">
        <v>336</v>
      </c>
      <c r="D20" s="9" t="s">
        <v>41</v>
      </c>
      <c r="E20" s="9" t="s">
        <v>287</v>
      </c>
      <c r="F20" s="18">
        <v>49059</v>
      </c>
      <c r="G20" s="18">
        <v>47269</v>
      </c>
      <c r="H20" s="9">
        <f t="shared" ca="1" si="0"/>
        <v>2786</v>
      </c>
      <c r="I20" s="9" t="s">
        <v>1026</v>
      </c>
      <c r="J20" s="9"/>
      <c r="K20" s="9"/>
      <c r="L20" s="9"/>
      <c r="M20" s="9"/>
      <c r="N20" s="9"/>
      <c r="O20" s="9" t="s">
        <v>1244</v>
      </c>
    </row>
    <row r="21" spans="1:15" ht="25.5" x14ac:dyDescent="0.25">
      <c r="A21" s="9">
        <v>19</v>
      </c>
      <c r="B21" s="9" t="s">
        <v>338</v>
      </c>
      <c r="C21" s="9" t="s">
        <v>339</v>
      </c>
      <c r="D21" s="9" t="s">
        <v>41</v>
      </c>
      <c r="E21" s="9" t="s">
        <v>287</v>
      </c>
      <c r="F21" s="18">
        <v>49059</v>
      </c>
      <c r="G21" s="18">
        <v>47269</v>
      </c>
      <c r="H21" s="9">
        <f t="shared" ca="1" si="0"/>
        <v>2786</v>
      </c>
      <c r="I21" s="9" t="s">
        <v>1026</v>
      </c>
      <c r="J21" s="9"/>
      <c r="K21" s="9"/>
      <c r="L21" s="9"/>
      <c r="M21" s="9"/>
      <c r="N21" s="9"/>
      <c r="O21" s="9" t="s">
        <v>1244</v>
      </c>
    </row>
    <row r="22" spans="1:15" ht="25.5" x14ac:dyDescent="0.25">
      <c r="A22" s="9">
        <v>20</v>
      </c>
      <c r="B22" s="9" t="s">
        <v>341</v>
      </c>
      <c r="C22" s="9" t="s">
        <v>339</v>
      </c>
      <c r="D22" s="9" t="s">
        <v>41</v>
      </c>
      <c r="E22" s="9" t="s">
        <v>287</v>
      </c>
      <c r="F22" s="18">
        <v>49059</v>
      </c>
      <c r="G22" s="18">
        <v>47269</v>
      </c>
      <c r="H22" s="9">
        <f t="shared" ca="1" si="0"/>
        <v>2786</v>
      </c>
      <c r="I22" s="9" t="s">
        <v>1026</v>
      </c>
      <c r="J22" s="9"/>
      <c r="K22" s="9"/>
      <c r="L22" s="9"/>
      <c r="M22" s="9"/>
      <c r="N22" s="9"/>
      <c r="O22" s="9" t="s">
        <v>1244</v>
      </c>
    </row>
    <row r="23" spans="1:15" ht="25.5" x14ac:dyDescent="0.25">
      <c r="A23" s="9">
        <v>21</v>
      </c>
      <c r="B23" s="9" t="s">
        <v>343</v>
      </c>
      <c r="C23" s="9" t="s">
        <v>339</v>
      </c>
      <c r="D23" s="9" t="s">
        <v>41</v>
      </c>
      <c r="E23" s="9" t="s">
        <v>287</v>
      </c>
      <c r="F23" s="18">
        <v>49059</v>
      </c>
      <c r="G23" s="18">
        <v>47269</v>
      </c>
      <c r="H23" s="9">
        <f t="shared" ca="1" si="0"/>
        <v>2786</v>
      </c>
      <c r="I23" s="9" t="s">
        <v>1026</v>
      </c>
      <c r="J23" s="9"/>
      <c r="K23" s="9"/>
      <c r="L23" s="9"/>
      <c r="M23" s="9"/>
      <c r="N23" s="9"/>
      <c r="O23" s="9" t="s">
        <v>1244</v>
      </c>
    </row>
    <row r="24" spans="1:15" ht="38.25" x14ac:dyDescent="0.25">
      <c r="A24" s="9">
        <v>22</v>
      </c>
      <c r="B24" s="9" t="s">
        <v>345</v>
      </c>
      <c r="C24" s="9" t="s">
        <v>339</v>
      </c>
      <c r="D24" s="9" t="s">
        <v>41</v>
      </c>
      <c r="E24" s="9" t="s">
        <v>287</v>
      </c>
      <c r="F24" s="18">
        <v>49059</v>
      </c>
      <c r="G24" s="18">
        <v>47269</v>
      </c>
      <c r="H24" s="9">
        <f t="shared" ca="1" si="0"/>
        <v>2786</v>
      </c>
      <c r="I24" s="9" t="s">
        <v>1026</v>
      </c>
      <c r="J24" s="9"/>
      <c r="K24" s="9"/>
      <c r="L24" s="9"/>
      <c r="M24" s="9"/>
      <c r="N24" s="9"/>
      <c r="O24" s="9" t="s">
        <v>1244</v>
      </c>
    </row>
    <row r="25" spans="1:15" ht="38.25" x14ac:dyDescent="0.25">
      <c r="A25" s="9">
        <v>23</v>
      </c>
      <c r="B25" s="9" t="s">
        <v>347</v>
      </c>
      <c r="C25" s="9" t="s">
        <v>348</v>
      </c>
      <c r="D25" s="9" t="s">
        <v>41</v>
      </c>
      <c r="E25" s="9" t="s">
        <v>287</v>
      </c>
      <c r="F25" s="18">
        <v>49059</v>
      </c>
      <c r="G25" s="18">
        <v>47269</v>
      </c>
      <c r="H25" s="9">
        <f t="shared" ca="1" si="0"/>
        <v>2786</v>
      </c>
      <c r="I25" s="9" t="s">
        <v>1026</v>
      </c>
      <c r="J25" s="9"/>
      <c r="K25" s="9"/>
      <c r="L25" s="9"/>
      <c r="M25" s="9"/>
      <c r="N25" s="9"/>
      <c r="O25" s="9" t="s">
        <v>1244</v>
      </c>
    </row>
    <row r="26" spans="1:15" ht="25.5" x14ac:dyDescent="0.25">
      <c r="A26" s="9">
        <v>24</v>
      </c>
      <c r="B26" s="9" t="s">
        <v>350</v>
      </c>
      <c r="C26" s="9" t="s">
        <v>348</v>
      </c>
      <c r="D26" s="9" t="s">
        <v>41</v>
      </c>
      <c r="E26" s="9" t="s">
        <v>287</v>
      </c>
      <c r="F26" s="18">
        <v>49059</v>
      </c>
      <c r="G26" s="18">
        <v>47269</v>
      </c>
      <c r="H26" s="9">
        <f t="shared" ca="1" si="0"/>
        <v>2786</v>
      </c>
      <c r="I26" s="9" t="s">
        <v>1026</v>
      </c>
      <c r="J26" s="9"/>
      <c r="K26" s="9"/>
      <c r="L26" s="9"/>
      <c r="M26" s="9"/>
      <c r="N26" s="9"/>
      <c r="O26" s="9" t="s">
        <v>1244</v>
      </c>
    </row>
    <row r="27" spans="1:15" ht="25.5" x14ac:dyDescent="0.25">
      <c r="A27" s="9">
        <v>25</v>
      </c>
      <c r="B27" s="9" t="s">
        <v>352</v>
      </c>
      <c r="C27" s="9" t="s">
        <v>336</v>
      </c>
      <c r="D27" s="9" t="s">
        <v>41</v>
      </c>
      <c r="E27" s="9" t="s">
        <v>287</v>
      </c>
      <c r="F27" s="18">
        <v>49059</v>
      </c>
      <c r="G27" s="18">
        <v>47269</v>
      </c>
      <c r="H27" s="9">
        <f t="shared" ca="1" si="0"/>
        <v>2786</v>
      </c>
      <c r="I27" s="9" t="s">
        <v>1026</v>
      </c>
      <c r="J27" s="9"/>
      <c r="K27" s="9"/>
      <c r="L27" s="9"/>
      <c r="M27" s="9"/>
      <c r="N27" s="9"/>
      <c r="O27" s="9" t="s">
        <v>1244</v>
      </c>
    </row>
    <row r="28" spans="1:15" ht="25.5" x14ac:dyDescent="0.25">
      <c r="A28" s="9">
        <v>26</v>
      </c>
      <c r="B28" s="9" t="s">
        <v>354</v>
      </c>
      <c r="C28" s="9" t="s">
        <v>336</v>
      </c>
      <c r="D28" s="9" t="s">
        <v>41</v>
      </c>
      <c r="E28" s="9" t="s">
        <v>287</v>
      </c>
      <c r="F28" s="18">
        <v>49059</v>
      </c>
      <c r="G28" s="18">
        <v>47269</v>
      </c>
      <c r="H28" s="9">
        <f t="shared" ca="1" si="0"/>
        <v>2786</v>
      </c>
      <c r="I28" s="9" t="s">
        <v>1026</v>
      </c>
      <c r="J28" s="9"/>
      <c r="K28" s="9"/>
      <c r="L28" s="9"/>
      <c r="M28" s="9"/>
      <c r="N28" s="9"/>
      <c r="O28" s="9" t="s">
        <v>1244</v>
      </c>
    </row>
    <row r="29" spans="1:15" ht="25.5" x14ac:dyDescent="0.25">
      <c r="A29" s="9">
        <v>27</v>
      </c>
      <c r="B29" s="9" t="s">
        <v>356</v>
      </c>
      <c r="C29" s="9" t="s">
        <v>336</v>
      </c>
      <c r="D29" s="9" t="s">
        <v>41</v>
      </c>
      <c r="E29" s="9" t="s">
        <v>287</v>
      </c>
      <c r="F29" s="18">
        <v>49059</v>
      </c>
      <c r="G29" s="18">
        <v>47269</v>
      </c>
      <c r="H29" s="9">
        <f t="shared" ca="1" si="0"/>
        <v>2786</v>
      </c>
      <c r="I29" s="9" t="s">
        <v>1026</v>
      </c>
      <c r="J29" s="9"/>
      <c r="K29" s="9"/>
      <c r="L29" s="9"/>
      <c r="M29" s="9"/>
      <c r="N29" s="9"/>
      <c r="O29" s="9" t="s">
        <v>1244</v>
      </c>
    </row>
    <row r="30" spans="1:15" ht="25.5" x14ac:dyDescent="0.25">
      <c r="A30" s="9">
        <v>28</v>
      </c>
      <c r="B30" s="9" t="s">
        <v>358</v>
      </c>
      <c r="C30" s="9" t="s">
        <v>336</v>
      </c>
      <c r="D30" s="9" t="s">
        <v>41</v>
      </c>
      <c r="E30" s="9" t="s">
        <v>287</v>
      </c>
      <c r="F30" s="18">
        <v>49059</v>
      </c>
      <c r="G30" s="18">
        <v>47269</v>
      </c>
      <c r="H30" s="9">
        <f t="shared" ca="1" si="0"/>
        <v>2786</v>
      </c>
      <c r="I30" s="9" t="s">
        <v>1026</v>
      </c>
      <c r="J30" s="9"/>
      <c r="K30" s="9"/>
      <c r="L30" s="9"/>
      <c r="M30" s="9"/>
      <c r="N30" s="9"/>
      <c r="O30" s="9" t="s">
        <v>1244</v>
      </c>
    </row>
    <row r="31" spans="1:15" ht="25.5" x14ac:dyDescent="0.25">
      <c r="A31" s="9">
        <v>29</v>
      </c>
      <c r="B31" s="9" t="s">
        <v>360</v>
      </c>
      <c r="C31" s="9" t="s">
        <v>336</v>
      </c>
      <c r="D31" s="9" t="s">
        <v>41</v>
      </c>
      <c r="E31" s="9" t="s">
        <v>287</v>
      </c>
      <c r="F31" s="18">
        <v>49059</v>
      </c>
      <c r="G31" s="18">
        <v>47269</v>
      </c>
      <c r="H31" s="9">
        <f t="shared" ca="1" si="0"/>
        <v>2786</v>
      </c>
      <c r="I31" s="9" t="s">
        <v>1026</v>
      </c>
      <c r="J31" s="9"/>
      <c r="K31" s="9"/>
      <c r="L31" s="9"/>
      <c r="M31" s="9"/>
      <c r="N31" s="9"/>
      <c r="O31" s="9" t="s">
        <v>1244</v>
      </c>
    </row>
    <row r="32" spans="1:15" x14ac:dyDescent="0.25">
      <c r="A32" s="9">
        <v>30</v>
      </c>
      <c r="B32" s="9" t="s">
        <v>362</v>
      </c>
      <c r="C32" s="9" t="s">
        <v>363</v>
      </c>
      <c r="D32" s="9" t="s">
        <v>41</v>
      </c>
      <c r="E32" s="9" t="s">
        <v>287</v>
      </c>
      <c r="F32" s="18">
        <v>49059</v>
      </c>
      <c r="G32" s="18">
        <v>47269</v>
      </c>
      <c r="H32" s="9">
        <f t="shared" ca="1" si="0"/>
        <v>2786</v>
      </c>
      <c r="I32" s="9" t="s">
        <v>1026</v>
      </c>
      <c r="J32" s="9"/>
      <c r="K32" s="9"/>
      <c r="L32" s="9"/>
      <c r="M32" s="9"/>
      <c r="N32" s="9"/>
      <c r="O32" s="9" t="s">
        <v>1244</v>
      </c>
    </row>
    <row r="33" spans="1:15" ht="25.5" x14ac:dyDescent="0.25">
      <c r="A33" s="9">
        <v>31</v>
      </c>
      <c r="B33" s="9" t="s">
        <v>365</v>
      </c>
      <c r="C33" s="9" t="s">
        <v>336</v>
      </c>
      <c r="D33" s="9" t="s">
        <v>41</v>
      </c>
      <c r="E33" s="9" t="s">
        <v>287</v>
      </c>
      <c r="F33" s="18">
        <v>49059</v>
      </c>
      <c r="G33" s="18">
        <v>47269</v>
      </c>
      <c r="H33" s="9">
        <f t="shared" ca="1" si="0"/>
        <v>2786</v>
      </c>
      <c r="I33" s="9" t="s">
        <v>1026</v>
      </c>
      <c r="J33" s="9"/>
      <c r="K33" s="9"/>
      <c r="L33" s="9"/>
      <c r="M33" s="9"/>
      <c r="N33" s="9"/>
      <c r="O33" s="9" t="s">
        <v>1244</v>
      </c>
    </row>
    <row r="34" spans="1:15" ht="25.5" x14ac:dyDescent="0.25">
      <c r="A34" s="9">
        <v>32</v>
      </c>
      <c r="B34" s="9" t="s">
        <v>367</v>
      </c>
      <c r="C34" s="9" t="s">
        <v>368</v>
      </c>
      <c r="D34" s="9" t="s">
        <v>41</v>
      </c>
      <c r="E34" s="9" t="s">
        <v>287</v>
      </c>
      <c r="F34" s="18">
        <v>49059</v>
      </c>
      <c r="G34" s="18">
        <v>47269</v>
      </c>
      <c r="H34" s="9">
        <f t="shared" ca="1" si="0"/>
        <v>2786</v>
      </c>
      <c r="I34" s="9" t="s">
        <v>1026</v>
      </c>
      <c r="J34" s="9"/>
      <c r="K34" s="9"/>
      <c r="L34" s="9"/>
      <c r="M34" s="9"/>
      <c r="N34" s="9"/>
      <c r="O34" s="9" t="s">
        <v>1244</v>
      </c>
    </row>
    <row r="35" spans="1:15" ht="25.5" x14ac:dyDescent="0.25">
      <c r="A35" s="9">
        <v>33</v>
      </c>
      <c r="B35" s="9" t="s">
        <v>370</v>
      </c>
      <c r="C35" s="9" t="s">
        <v>336</v>
      </c>
      <c r="D35" s="9" t="s">
        <v>41</v>
      </c>
      <c r="E35" s="9" t="s">
        <v>287</v>
      </c>
      <c r="F35" s="18">
        <v>49059</v>
      </c>
      <c r="G35" s="18">
        <v>47269</v>
      </c>
      <c r="H35" s="9">
        <f t="shared" ca="1" si="0"/>
        <v>2786</v>
      </c>
      <c r="I35" s="9" t="s">
        <v>1026</v>
      </c>
      <c r="J35" s="9"/>
      <c r="K35" s="9"/>
      <c r="L35" s="9"/>
      <c r="M35" s="9"/>
      <c r="N35" s="9"/>
      <c r="O35" s="9" t="s">
        <v>1244</v>
      </c>
    </row>
    <row r="36" spans="1:15" ht="25.5" x14ac:dyDescent="0.25">
      <c r="A36" s="9">
        <v>34</v>
      </c>
      <c r="B36" s="9" t="s">
        <v>372</v>
      </c>
      <c r="C36" s="9" t="s">
        <v>373</v>
      </c>
      <c r="D36" s="9" t="s">
        <v>41</v>
      </c>
      <c r="E36" s="9" t="s">
        <v>287</v>
      </c>
      <c r="F36" s="18">
        <v>49059</v>
      </c>
      <c r="G36" s="18">
        <v>47269</v>
      </c>
      <c r="H36" s="9">
        <f t="shared" ca="1" si="0"/>
        <v>2786</v>
      </c>
      <c r="I36" s="9" t="s">
        <v>1026</v>
      </c>
      <c r="J36" s="9"/>
      <c r="K36" s="9"/>
      <c r="L36" s="9"/>
      <c r="M36" s="9"/>
      <c r="N36" s="9"/>
      <c r="O36" s="9" t="s">
        <v>1244</v>
      </c>
    </row>
    <row r="37" spans="1:15" ht="25.5" x14ac:dyDescent="0.25">
      <c r="A37" s="9">
        <v>35</v>
      </c>
      <c r="B37" s="9" t="s">
        <v>375</v>
      </c>
      <c r="C37" s="9" t="s">
        <v>373</v>
      </c>
      <c r="D37" s="9" t="s">
        <v>41</v>
      </c>
      <c r="E37" s="9" t="s">
        <v>287</v>
      </c>
      <c r="F37" s="18">
        <v>49059</v>
      </c>
      <c r="G37" s="18">
        <v>47269</v>
      </c>
      <c r="H37" s="9">
        <f t="shared" ca="1" si="0"/>
        <v>2786</v>
      </c>
      <c r="I37" s="9" t="s">
        <v>1026</v>
      </c>
      <c r="J37" s="9"/>
      <c r="K37" s="9"/>
      <c r="L37" s="9"/>
      <c r="M37" s="9"/>
      <c r="N37" s="9"/>
      <c r="O37" s="9" t="s">
        <v>1244</v>
      </c>
    </row>
    <row r="38" spans="1:15" ht="25.5" x14ac:dyDescent="0.25">
      <c r="A38" s="9">
        <v>36</v>
      </c>
      <c r="B38" s="9" t="s">
        <v>377</v>
      </c>
      <c r="C38" s="9" t="s">
        <v>336</v>
      </c>
      <c r="D38" s="9" t="s">
        <v>41</v>
      </c>
      <c r="E38" s="9" t="s">
        <v>287</v>
      </c>
      <c r="F38" s="18">
        <v>49059</v>
      </c>
      <c r="G38" s="18">
        <v>47269</v>
      </c>
      <c r="H38" s="9">
        <f t="shared" ca="1" si="0"/>
        <v>2786</v>
      </c>
      <c r="I38" s="9" t="s">
        <v>1026</v>
      </c>
      <c r="J38" s="9"/>
      <c r="K38" s="9"/>
      <c r="L38" s="9"/>
      <c r="M38" s="9"/>
      <c r="N38" s="9"/>
      <c r="O38" s="9" t="s">
        <v>1244</v>
      </c>
    </row>
    <row r="39" spans="1:15" ht="25.5" x14ac:dyDescent="0.25">
      <c r="A39" s="9">
        <v>37</v>
      </c>
      <c r="B39" s="9" t="s">
        <v>379</v>
      </c>
      <c r="C39" s="9" t="s">
        <v>336</v>
      </c>
      <c r="D39" s="9" t="s">
        <v>41</v>
      </c>
      <c r="E39" s="9" t="s">
        <v>287</v>
      </c>
      <c r="F39" s="18">
        <v>49059</v>
      </c>
      <c r="G39" s="18">
        <v>47269</v>
      </c>
      <c r="H39" s="9">
        <f t="shared" ca="1" si="0"/>
        <v>2786</v>
      </c>
      <c r="I39" s="9" t="s">
        <v>1026</v>
      </c>
      <c r="J39" s="9"/>
      <c r="K39" s="9"/>
      <c r="L39" s="9"/>
      <c r="M39" s="9"/>
      <c r="N39" s="9"/>
      <c r="O39" s="9" t="s">
        <v>1244</v>
      </c>
    </row>
    <row r="40" spans="1:15" ht="25.5" x14ac:dyDescent="0.25">
      <c r="A40" s="9">
        <v>38</v>
      </c>
      <c r="B40" s="9" t="s">
        <v>381</v>
      </c>
      <c r="C40" s="9" t="s">
        <v>382</v>
      </c>
      <c r="D40" s="9" t="s">
        <v>41</v>
      </c>
      <c r="E40" s="9" t="s">
        <v>287</v>
      </c>
      <c r="F40" s="18">
        <v>49059</v>
      </c>
      <c r="G40" s="18">
        <v>47269</v>
      </c>
      <c r="H40" s="9">
        <f t="shared" ca="1" si="0"/>
        <v>2786</v>
      </c>
      <c r="I40" s="9" t="s">
        <v>1026</v>
      </c>
      <c r="J40" s="9"/>
      <c r="K40" s="9"/>
      <c r="L40" s="9"/>
      <c r="M40" s="9"/>
      <c r="N40" s="9"/>
      <c r="O40" s="9" t="s">
        <v>1244</v>
      </c>
    </row>
    <row r="41" spans="1:15" ht="25.5" x14ac:dyDescent="0.25">
      <c r="A41" s="9">
        <v>39</v>
      </c>
      <c r="B41" s="9" t="s">
        <v>384</v>
      </c>
      <c r="C41" s="9" t="s">
        <v>382</v>
      </c>
      <c r="D41" s="9" t="s">
        <v>41</v>
      </c>
      <c r="E41" s="9" t="s">
        <v>287</v>
      </c>
      <c r="F41" s="18">
        <v>49059</v>
      </c>
      <c r="G41" s="18">
        <v>47269</v>
      </c>
      <c r="H41" s="9">
        <f t="shared" ca="1" si="0"/>
        <v>2786</v>
      </c>
      <c r="I41" s="9" t="s">
        <v>1026</v>
      </c>
      <c r="J41" s="9"/>
      <c r="K41" s="9"/>
      <c r="L41" s="9"/>
      <c r="M41" s="9"/>
      <c r="N41" s="9"/>
      <c r="O41" s="9" t="s">
        <v>1244</v>
      </c>
    </row>
    <row r="42" spans="1:15" ht="25.5" x14ac:dyDescent="0.25">
      <c r="A42" s="9">
        <v>40</v>
      </c>
      <c r="B42" s="9" t="s">
        <v>386</v>
      </c>
      <c r="C42" s="9" t="s">
        <v>382</v>
      </c>
      <c r="D42" s="9" t="s">
        <v>41</v>
      </c>
      <c r="E42" s="9" t="s">
        <v>287</v>
      </c>
      <c r="F42" s="18">
        <v>49059</v>
      </c>
      <c r="G42" s="18">
        <v>47269</v>
      </c>
      <c r="H42" s="9">
        <f t="shared" ca="1" si="0"/>
        <v>2786</v>
      </c>
      <c r="I42" s="9" t="s">
        <v>1026</v>
      </c>
      <c r="J42" s="9"/>
      <c r="K42" s="9"/>
      <c r="L42" s="9"/>
      <c r="M42" s="9"/>
      <c r="N42" s="9"/>
      <c r="O42" s="9" t="s">
        <v>1244</v>
      </c>
    </row>
    <row r="43" spans="1:15" ht="38.25" x14ac:dyDescent="0.25">
      <c r="A43" s="9">
        <v>41</v>
      </c>
      <c r="B43" s="9" t="s">
        <v>388</v>
      </c>
      <c r="C43" s="9" t="s">
        <v>389</v>
      </c>
      <c r="D43" s="9" t="s">
        <v>41</v>
      </c>
      <c r="E43" s="9" t="s">
        <v>287</v>
      </c>
      <c r="F43" s="18">
        <v>49059</v>
      </c>
      <c r="G43" s="18">
        <v>47269</v>
      </c>
      <c r="H43" s="9">
        <f t="shared" ca="1" si="0"/>
        <v>2786</v>
      </c>
      <c r="I43" s="9" t="s">
        <v>1026</v>
      </c>
      <c r="J43" s="9"/>
      <c r="K43" s="9"/>
      <c r="L43" s="9"/>
      <c r="M43" s="9"/>
      <c r="N43" s="9"/>
      <c r="O43" s="9" t="s">
        <v>1244</v>
      </c>
    </row>
    <row r="44" spans="1:15" ht="38.25" x14ac:dyDescent="0.25">
      <c r="A44" s="9">
        <v>42</v>
      </c>
      <c r="B44" s="9" t="s">
        <v>392</v>
      </c>
      <c r="C44" s="9" t="s">
        <v>389</v>
      </c>
      <c r="D44" s="9" t="s">
        <v>41</v>
      </c>
      <c r="E44" s="9" t="s">
        <v>287</v>
      </c>
      <c r="F44" s="18">
        <v>49059</v>
      </c>
      <c r="G44" s="18">
        <v>47269</v>
      </c>
      <c r="H44" s="9">
        <f t="shared" ca="1" si="0"/>
        <v>2786</v>
      </c>
      <c r="I44" s="9" t="s">
        <v>1026</v>
      </c>
      <c r="J44" s="9"/>
      <c r="K44" s="9"/>
      <c r="L44" s="9"/>
      <c r="M44" s="9"/>
      <c r="N44" s="9"/>
      <c r="O44" s="9" t="s">
        <v>1244</v>
      </c>
    </row>
    <row r="45" spans="1:15" ht="38.25" x14ac:dyDescent="0.25">
      <c r="A45" s="9">
        <v>43</v>
      </c>
      <c r="B45" s="9" t="s">
        <v>394</v>
      </c>
      <c r="C45" s="9" t="s">
        <v>389</v>
      </c>
      <c r="D45" s="9" t="s">
        <v>41</v>
      </c>
      <c r="E45" s="9" t="s">
        <v>287</v>
      </c>
      <c r="F45" s="18">
        <v>49059</v>
      </c>
      <c r="G45" s="18">
        <v>47269</v>
      </c>
      <c r="H45" s="9">
        <f t="shared" ca="1" si="0"/>
        <v>2786</v>
      </c>
      <c r="I45" s="9" t="s">
        <v>1026</v>
      </c>
      <c r="J45" s="9"/>
      <c r="K45" s="9"/>
      <c r="L45" s="9"/>
      <c r="M45" s="9"/>
      <c r="N45" s="9"/>
      <c r="O45" s="9" t="s">
        <v>1244</v>
      </c>
    </row>
    <row r="46" spans="1:15" ht="25.5" x14ac:dyDescent="0.25">
      <c r="A46" s="9">
        <v>44</v>
      </c>
      <c r="B46" s="9" t="s">
        <v>396</v>
      </c>
      <c r="C46" s="9" t="s">
        <v>397</v>
      </c>
      <c r="D46" s="9" t="s">
        <v>41</v>
      </c>
      <c r="E46" s="9" t="s">
        <v>287</v>
      </c>
      <c r="F46" s="18">
        <v>49059</v>
      </c>
      <c r="G46" s="18">
        <v>47269</v>
      </c>
      <c r="H46" s="9">
        <f t="shared" ca="1" si="0"/>
        <v>2786</v>
      </c>
      <c r="I46" s="9" t="s">
        <v>1026</v>
      </c>
      <c r="J46" s="9"/>
      <c r="K46" s="9"/>
      <c r="L46" s="9"/>
      <c r="M46" s="9"/>
      <c r="N46" s="9"/>
      <c r="O46" s="9" t="s">
        <v>1244</v>
      </c>
    </row>
    <row r="47" spans="1:15" ht="25.5" x14ac:dyDescent="0.25">
      <c r="A47" s="9">
        <v>45</v>
      </c>
      <c r="B47" s="9" t="s">
        <v>399</v>
      </c>
      <c r="C47" s="9" t="s">
        <v>397</v>
      </c>
      <c r="D47" s="9" t="s">
        <v>41</v>
      </c>
      <c r="E47" s="9" t="s">
        <v>287</v>
      </c>
      <c r="F47" s="18">
        <v>49059</v>
      </c>
      <c r="G47" s="18">
        <v>47269</v>
      </c>
      <c r="H47" s="9">
        <f t="shared" ca="1" si="0"/>
        <v>2786</v>
      </c>
      <c r="I47" s="9" t="s">
        <v>1026</v>
      </c>
      <c r="J47" s="9"/>
      <c r="K47" s="9"/>
      <c r="L47" s="9"/>
      <c r="M47" s="9"/>
      <c r="N47" s="9"/>
      <c r="O47" s="9" t="s">
        <v>1244</v>
      </c>
    </row>
    <row r="48" spans="1:15" ht="25.5" x14ac:dyDescent="0.25">
      <c r="A48" s="9">
        <v>46</v>
      </c>
      <c r="B48" s="9" t="s">
        <v>401</v>
      </c>
      <c r="C48" s="9" t="s">
        <v>402</v>
      </c>
      <c r="D48" s="9" t="s">
        <v>41</v>
      </c>
      <c r="E48" s="9" t="s">
        <v>287</v>
      </c>
      <c r="F48" s="18">
        <v>49059</v>
      </c>
      <c r="G48" s="18">
        <v>47269</v>
      </c>
      <c r="H48" s="9">
        <f t="shared" ca="1" si="0"/>
        <v>2786</v>
      </c>
      <c r="I48" s="9" t="s">
        <v>1026</v>
      </c>
      <c r="J48" s="9"/>
      <c r="K48" s="9"/>
      <c r="L48" s="9"/>
      <c r="M48" s="9"/>
      <c r="N48" s="9"/>
      <c r="O48" s="9" t="s">
        <v>1244</v>
      </c>
    </row>
    <row r="49" spans="1:15" ht="25.5" x14ac:dyDescent="0.25">
      <c r="A49" s="9">
        <v>47</v>
      </c>
      <c r="B49" s="9" t="s">
        <v>404</v>
      </c>
      <c r="C49" s="9" t="s">
        <v>405</v>
      </c>
      <c r="D49" s="9" t="s">
        <v>41</v>
      </c>
      <c r="E49" s="9" t="s">
        <v>287</v>
      </c>
      <c r="F49" s="18">
        <v>49059</v>
      </c>
      <c r="G49" s="18">
        <v>47269</v>
      </c>
      <c r="H49" s="9">
        <f t="shared" ca="1" si="0"/>
        <v>2786</v>
      </c>
      <c r="I49" s="9" t="s">
        <v>1026</v>
      </c>
      <c r="J49" s="9"/>
      <c r="K49" s="9"/>
      <c r="L49" s="9"/>
      <c r="M49" s="9"/>
      <c r="N49" s="9"/>
      <c r="O49" s="9" t="s">
        <v>1244</v>
      </c>
    </row>
    <row r="50" spans="1:15" ht="25.5" x14ac:dyDescent="0.25">
      <c r="A50" s="9">
        <v>48</v>
      </c>
      <c r="B50" s="9" t="s">
        <v>407</v>
      </c>
      <c r="C50" s="9" t="s">
        <v>405</v>
      </c>
      <c r="D50" s="9" t="s">
        <v>41</v>
      </c>
      <c r="E50" s="9" t="s">
        <v>287</v>
      </c>
      <c r="F50" s="18">
        <v>49059</v>
      </c>
      <c r="G50" s="18">
        <v>47269</v>
      </c>
      <c r="H50" s="9">
        <f t="shared" ca="1" si="0"/>
        <v>2786</v>
      </c>
      <c r="I50" s="9" t="s">
        <v>1026</v>
      </c>
      <c r="J50" s="9"/>
      <c r="K50" s="9"/>
      <c r="L50" s="9"/>
      <c r="M50" s="9"/>
      <c r="N50" s="9"/>
      <c r="O50" s="9" t="s">
        <v>1244</v>
      </c>
    </row>
    <row r="51" spans="1:15" ht="25.5" x14ac:dyDescent="0.25">
      <c r="A51" s="9">
        <v>49</v>
      </c>
      <c r="B51" s="9" t="s">
        <v>409</v>
      </c>
      <c r="C51" s="9" t="s">
        <v>410</v>
      </c>
      <c r="D51" s="9" t="s">
        <v>41</v>
      </c>
      <c r="E51" s="9" t="s">
        <v>287</v>
      </c>
      <c r="F51" s="18">
        <v>49059</v>
      </c>
      <c r="G51" s="18">
        <v>47269</v>
      </c>
      <c r="H51" s="9">
        <f t="shared" ca="1" si="0"/>
        <v>2786</v>
      </c>
      <c r="I51" s="9" t="s">
        <v>1026</v>
      </c>
      <c r="J51" s="9"/>
      <c r="K51" s="9"/>
      <c r="L51" s="9"/>
      <c r="M51" s="9"/>
      <c r="N51" s="9"/>
      <c r="O51" s="9" t="s">
        <v>1244</v>
      </c>
    </row>
    <row r="52" spans="1:15" ht="25.5" x14ac:dyDescent="0.25">
      <c r="A52" s="9">
        <v>50</v>
      </c>
      <c r="B52" s="9" t="s">
        <v>412</v>
      </c>
      <c r="C52" s="9" t="s">
        <v>413</v>
      </c>
      <c r="D52" s="9" t="s">
        <v>41</v>
      </c>
      <c r="E52" s="9" t="s">
        <v>287</v>
      </c>
      <c r="F52" s="18">
        <v>49059</v>
      </c>
      <c r="G52" s="18">
        <v>47269</v>
      </c>
      <c r="H52" s="9">
        <f t="shared" ca="1" si="0"/>
        <v>2786</v>
      </c>
      <c r="I52" s="9" t="s">
        <v>1026</v>
      </c>
      <c r="J52" s="9"/>
      <c r="K52" s="9"/>
      <c r="L52" s="9"/>
      <c r="M52" s="9"/>
      <c r="N52" s="9"/>
      <c r="O52" s="9" t="s">
        <v>1244</v>
      </c>
    </row>
    <row r="53" spans="1:15" ht="25.5" x14ac:dyDescent="0.25">
      <c r="A53" s="9">
        <v>51</v>
      </c>
      <c r="B53" s="9" t="s">
        <v>415</v>
      </c>
      <c r="C53" s="9" t="s">
        <v>416</v>
      </c>
      <c r="D53" s="9" t="s">
        <v>41</v>
      </c>
      <c r="E53" s="9" t="s">
        <v>287</v>
      </c>
      <c r="F53" s="18">
        <v>49059</v>
      </c>
      <c r="G53" s="18">
        <v>47269</v>
      </c>
      <c r="H53" s="9">
        <f t="shared" ca="1" si="0"/>
        <v>2786</v>
      </c>
      <c r="I53" s="9" t="s">
        <v>1026</v>
      </c>
      <c r="J53" s="9"/>
      <c r="K53" s="9"/>
      <c r="L53" s="9"/>
      <c r="M53" s="9"/>
      <c r="N53" s="9"/>
      <c r="O53" s="9" t="s">
        <v>1244</v>
      </c>
    </row>
    <row r="54" spans="1:15" x14ac:dyDescent="0.25">
      <c r="A54" s="9">
        <v>52</v>
      </c>
      <c r="B54" s="9" t="s">
        <v>418</v>
      </c>
      <c r="C54" s="9" t="s">
        <v>419</v>
      </c>
      <c r="D54" s="9" t="s">
        <v>41</v>
      </c>
      <c r="E54" s="9" t="s">
        <v>287</v>
      </c>
      <c r="F54" s="18">
        <v>49059</v>
      </c>
      <c r="G54" s="18">
        <v>47269</v>
      </c>
      <c r="H54" s="9">
        <f t="shared" ca="1" si="0"/>
        <v>2786</v>
      </c>
      <c r="I54" s="9" t="s">
        <v>1026</v>
      </c>
      <c r="J54" s="9"/>
      <c r="K54" s="9"/>
      <c r="L54" s="9"/>
      <c r="M54" s="9"/>
      <c r="N54" s="9"/>
      <c r="O54" s="9" t="s">
        <v>1244</v>
      </c>
    </row>
    <row r="55" spans="1:15" ht="25.5" x14ac:dyDescent="0.25">
      <c r="A55" s="9">
        <v>53</v>
      </c>
      <c r="B55" s="9" t="s">
        <v>421</v>
      </c>
      <c r="C55" s="9" t="s">
        <v>422</v>
      </c>
      <c r="D55" s="9" t="s">
        <v>41</v>
      </c>
      <c r="E55" s="9" t="s">
        <v>287</v>
      </c>
      <c r="F55" s="18">
        <v>49059</v>
      </c>
      <c r="G55" s="18">
        <v>47269</v>
      </c>
      <c r="H55" s="9">
        <f t="shared" ca="1" si="0"/>
        <v>2786</v>
      </c>
      <c r="I55" s="9" t="s">
        <v>1026</v>
      </c>
      <c r="J55" s="9"/>
      <c r="K55" s="9"/>
      <c r="L55" s="9"/>
      <c r="M55" s="9"/>
      <c r="N55" s="9"/>
      <c r="O55" s="9" t="s">
        <v>1244</v>
      </c>
    </row>
    <row r="56" spans="1:15" x14ac:dyDescent="0.25">
      <c r="A56" s="9">
        <v>54</v>
      </c>
      <c r="B56" s="9" t="s">
        <v>425</v>
      </c>
      <c r="C56" s="9" t="s">
        <v>426</v>
      </c>
      <c r="D56" s="9" t="s">
        <v>41</v>
      </c>
      <c r="E56" s="9" t="s">
        <v>287</v>
      </c>
      <c r="F56" s="18">
        <v>49059</v>
      </c>
      <c r="G56" s="18">
        <v>47269</v>
      </c>
      <c r="H56" s="9">
        <f t="shared" ca="1" si="0"/>
        <v>2786</v>
      </c>
      <c r="I56" s="9" t="s">
        <v>1026</v>
      </c>
      <c r="J56" s="9"/>
      <c r="K56" s="9"/>
      <c r="L56" s="9"/>
      <c r="M56" s="9"/>
      <c r="N56" s="9"/>
      <c r="O56" s="9" t="s">
        <v>1244</v>
      </c>
    </row>
    <row r="57" spans="1:15" x14ac:dyDescent="0.25">
      <c r="A57" s="9">
        <v>55</v>
      </c>
      <c r="B57" s="9" t="s">
        <v>428</v>
      </c>
      <c r="C57" s="9" t="s">
        <v>426</v>
      </c>
      <c r="D57" s="9" t="s">
        <v>41</v>
      </c>
      <c r="E57" s="9" t="s">
        <v>287</v>
      </c>
      <c r="F57" s="18">
        <v>49059</v>
      </c>
      <c r="G57" s="18">
        <v>47269</v>
      </c>
      <c r="H57" s="9">
        <f t="shared" ca="1" si="0"/>
        <v>2786</v>
      </c>
      <c r="I57" s="9" t="s">
        <v>1026</v>
      </c>
      <c r="J57" s="9"/>
      <c r="K57" s="9"/>
      <c r="L57" s="9"/>
      <c r="M57" s="9"/>
      <c r="N57" s="9"/>
      <c r="O57" s="9" t="s">
        <v>1244</v>
      </c>
    </row>
    <row r="58" spans="1:15" x14ac:dyDescent="0.25">
      <c r="A58" s="9">
        <v>56</v>
      </c>
      <c r="B58" s="9" t="s">
        <v>430</v>
      </c>
      <c r="C58" s="9" t="s">
        <v>426</v>
      </c>
      <c r="D58" s="9" t="s">
        <v>41</v>
      </c>
      <c r="E58" s="9" t="s">
        <v>287</v>
      </c>
      <c r="F58" s="18">
        <v>49059</v>
      </c>
      <c r="G58" s="18">
        <v>47269</v>
      </c>
      <c r="H58" s="9">
        <f t="shared" ca="1" si="0"/>
        <v>2786</v>
      </c>
      <c r="I58" s="9" t="s">
        <v>1026</v>
      </c>
      <c r="J58" s="9"/>
      <c r="K58" s="9"/>
      <c r="L58" s="9"/>
      <c r="M58" s="9"/>
      <c r="N58" s="9"/>
      <c r="O58" s="9" t="s">
        <v>1244</v>
      </c>
    </row>
    <row r="59" spans="1:15" ht="25.5" x14ac:dyDescent="0.25">
      <c r="A59" s="9">
        <v>57</v>
      </c>
      <c r="B59" s="9" t="s">
        <v>432</v>
      </c>
      <c r="C59" s="9" t="s">
        <v>433</v>
      </c>
      <c r="D59" s="9" t="s">
        <v>41</v>
      </c>
      <c r="E59" s="9" t="s">
        <v>287</v>
      </c>
      <c r="F59" s="18">
        <v>49059</v>
      </c>
      <c r="G59" s="18">
        <v>47269</v>
      </c>
      <c r="H59" s="9">
        <f t="shared" ca="1" si="0"/>
        <v>2786</v>
      </c>
      <c r="I59" s="9" t="s">
        <v>1026</v>
      </c>
      <c r="J59" s="9"/>
      <c r="K59" s="9"/>
      <c r="L59" s="9"/>
      <c r="M59" s="9"/>
      <c r="N59" s="9"/>
      <c r="O59" s="9" t="s">
        <v>1244</v>
      </c>
    </row>
    <row r="60" spans="1:15" ht="25.5" x14ac:dyDescent="0.25">
      <c r="A60" s="9">
        <v>58</v>
      </c>
      <c r="B60" s="9" t="s">
        <v>435</v>
      </c>
      <c r="C60" s="9" t="s">
        <v>433</v>
      </c>
      <c r="D60" s="9" t="s">
        <v>41</v>
      </c>
      <c r="E60" s="9" t="s">
        <v>287</v>
      </c>
      <c r="F60" s="18">
        <v>49059</v>
      </c>
      <c r="G60" s="18">
        <v>47269</v>
      </c>
      <c r="H60" s="9">
        <f t="shared" ca="1" si="0"/>
        <v>2786</v>
      </c>
      <c r="I60" s="9" t="s">
        <v>1026</v>
      </c>
      <c r="J60" s="9"/>
      <c r="K60" s="9"/>
      <c r="L60" s="9"/>
      <c r="M60" s="9"/>
      <c r="N60" s="9"/>
      <c r="O60" s="9" t="s">
        <v>1244</v>
      </c>
    </row>
    <row r="61" spans="1:15" ht="38.25" x14ac:dyDescent="0.25">
      <c r="A61" s="9">
        <v>59</v>
      </c>
      <c r="B61" s="9" t="s">
        <v>437</v>
      </c>
      <c r="C61" s="9" t="s">
        <v>438</v>
      </c>
      <c r="D61" s="9" t="s">
        <v>41</v>
      </c>
      <c r="E61" s="9" t="s">
        <v>287</v>
      </c>
      <c r="F61" s="18">
        <v>49059</v>
      </c>
      <c r="G61" s="18">
        <v>47269</v>
      </c>
      <c r="H61" s="9">
        <f t="shared" ca="1" si="0"/>
        <v>2786</v>
      </c>
      <c r="I61" s="9" t="s">
        <v>1026</v>
      </c>
      <c r="J61" s="9"/>
      <c r="K61" s="9"/>
      <c r="L61" s="9"/>
      <c r="M61" s="9"/>
      <c r="N61" s="9"/>
      <c r="O61" s="9" t="s">
        <v>1244</v>
      </c>
    </row>
    <row r="62" spans="1:15" ht="38.25" x14ac:dyDescent="0.25">
      <c r="A62" s="9">
        <v>60</v>
      </c>
      <c r="B62" s="9" t="s">
        <v>440</v>
      </c>
      <c r="C62" s="9" t="s">
        <v>441</v>
      </c>
      <c r="D62" s="9" t="s">
        <v>41</v>
      </c>
      <c r="E62" s="9" t="s">
        <v>287</v>
      </c>
      <c r="F62" s="18">
        <v>49059</v>
      </c>
      <c r="G62" s="18">
        <v>47269</v>
      </c>
      <c r="H62" s="9">
        <f t="shared" ca="1" si="0"/>
        <v>2786</v>
      </c>
      <c r="I62" s="9" t="s">
        <v>1026</v>
      </c>
      <c r="J62" s="9"/>
      <c r="K62" s="9"/>
      <c r="L62" s="9"/>
      <c r="M62" s="9"/>
      <c r="N62" s="9"/>
      <c r="O62" s="9" t="s">
        <v>1244</v>
      </c>
    </row>
    <row r="63" spans="1:15" ht="38.25" x14ac:dyDescent="0.25">
      <c r="A63" s="9">
        <v>61</v>
      </c>
      <c r="B63" s="9" t="s">
        <v>443</v>
      </c>
      <c r="C63" s="9" t="s">
        <v>438</v>
      </c>
      <c r="D63" s="9" t="s">
        <v>41</v>
      </c>
      <c r="E63" s="9" t="s">
        <v>287</v>
      </c>
      <c r="F63" s="18">
        <v>49059</v>
      </c>
      <c r="G63" s="18">
        <v>47269</v>
      </c>
      <c r="H63" s="9">
        <f t="shared" ca="1" si="0"/>
        <v>2786</v>
      </c>
      <c r="I63" s="9" t="s">
        <v>1026</v>
      </c>
      <c r="J63" s="9"/>
      <c r="K63" s="9"/>
      <c r="L63" s="9"/>
      <c r="M63" s="9"/>
      <c r="N63" s="9"/>
      <c r="O63" s="9" t="s">
        <v>1244</v>
      </c>
    </row>
    <row r="64" spans="1:15" ht="38.25" x14ac:dyDescent="0.25">
      <c r="A64" s="9">
        <v>62</v>
      </c>
      <c r="B64" s="9" t="s">
        <v>445</v>
      </c>
      <c r="C64" s="9" t="s">
        <v>438</v>
      </c>
      <c r="D64" s="9" t="s">
        <v>41</v>
      </c>
      <c r="E64" s="9" t="s">
        <v>287</v>
      </c>
      <c r="F64" s="18">
        <v>49059</v>
      </c>
      <c r="G64" s="18">
        <v>47269</v>
      </c>
      <c r="H64" s="9">
        <f t="shared" ca="1" si="0"/>
        <v>2786</v>
      </c>
      <c r="I64" s="9" t="s">
        <v>1026</v>
      </c>
      <c r="J64" s="9"/>
      <c r="K64" s="9"/>
      <c r="L64" s="9"/>
      <c r="M64" s="9"/>
      <c r="N64" s="9"/>
      <c r="O64" s="9" t="s">
        <v>1244</v>
      </c>
    </row>
    <row r="65" spans="1:15" ht="38.25" x14ac:dyDescent="0.25">
      <c r="A65" s="9">
        <v>63</v>
      </c>
      <c r="B65" s="9" t="s">
        <v>447</v>
      </c>
      <c r="C65" s="9" t="s">
        <v>438</v>
      </c>
      <c r="D65" s="9" t="s">
        <v>41</v>
      </c>
      <c r="E65" s="9" t="s">
        <v>287</v>
      </c>
      <c r="F65" s="18">
        <v>49059</v>
      </c>
      <c r="G65" s="18">
        <v>47269</v>
      </c>
      <c r="H65" s="9">
        <f t="shared" ca="1" si="0"/>
        <v>2786</v>
      </c>
      <c r="I65" s="9" t="s">
        <v>1026</v>
      </c>
      <c r="J65" s="9"/>
      <c r="K65" s="9"/>
      <c r="L65" s="9"/>
      <c r="M65" s="9"/>
      <c r="N65" s="9"/>
      <c r="O65" s="9" t="s">
        <v>1244</v>
      </c>
    </row>
    <row r="66" spans="1:15" ht="38.25" x14ac:dyDescent="0.25">
      <c r="A66" s="9">
        <v>64</v>
      </c>
      <c r="B66" s="9" t="s">
        <v>449</v>
      </c>
      <c r="C66" s="9" t="s">
        <v>438</v>
      </c>
      <c r="D66" s="9" t="s">
        <v>41</v>
      </c>
      <c r="E66" s="9" t="s">
        <v>287</v>
      </c>
      <c r="F66" s="18">
        <v>49059</v>
      </c>
      <c r="G66" s="18">
        <v>47269</v>
      </c>
      <c r="H66" s="9">
        <f t="shared" ca="1" si="0"/>
        <v>2786</v>
      </c>
      <c r="I66" s="9" t="s">
        <v>1026</v>
      </c>
      <c r="J66" s="9"/>
      <c r="K66" s="9"/>
      <c r="L66" s="9"/>
      <c r="M66" s="9"/>
      <c r="N66" s="9"/>
      <c r="O66" s="9" t="s">
        <v>1244</v>
      </c>
    </row>
    <row r="67" spans="1:15" ht="25.5" x14ac:dyDescent="0.25">
      <c r="A67" s="9">
        <v>65</v>
      </c>
      <c r="B67" s="9" t="s">
        <v>451</v>
      </c>
      <c r="C67" s="9" t="s">
        <v>452</v>
      </c>
      <c r="D67" s="9" t="s">
        <v>41</v>
      </c>
      <c r="E67" s="9" t="s">
        <v>287</v>
      </c>
      <c r="F67" s="18">
        <v>49059</v>
      </c>
      <c r="G67" s="18">
        <v>47269</v>
      </c>
      <c r="H67" s="9">
        <f t="shared" ref="H67:H130" ca="1" si="1">IF(F67="","",F67-TODAY())</f>
        <v>2786</v>
      </c>
      <c r="I67" s="9" t="s">
        <v>1026</v>
      </c>
      <c r="J67" s="9"/>
      <c r="K67" s="9"/>
      <c r="L67" s="9"/>
      <c r="M67" s="9"/>
      <c r="N67" s="9"/>
      <c r="O67" s="9" t="s">
        <v>1244</v>
      </c>
    </row>
    <row r="68" spans="1:15" x14ac:dyDescent="0.25">
      <c r="A68" s="9">
        <v>66</v>
      </c>
      <c r="B68" s="9" t="s">
        <v>454</v>
      </c>
      <c r="C68" s="9" t="s">
        <v>455</v>
      </c>
      <c r="D68" s="9" t="s">
        <v>41</v>
      </c>
      <c r="E68" s="9" t="s">
        <v>287</v>
      </c>
      <c r="F68" s="18">
        <v>49059</v>
      </c>
      <c r="G68" s="18">
        <v>47269</v>
      </c>
      <c r="H68" s="9">
        <f t="shared" ca="1" si="1"/>
        <v>2786</v>
      </c>
      <c r="I68" s="9" t="s">
        <v>1026</v>
      </c>
      <c r="J68" s="9"/>
      <c r="K68" s="9"/>
      <c r="L68" s="9"/>
      <c r="M68" s="9"/>
      <c r="N68" s="9"/>
      <c r="O68" s="9" t="s">
        <v>1244</v>
      </c>
    </row>
    <row r="69" spans="1:15" ht="38.25" x14ac:dyDescent="0.25">
      <c r="A69" s="9">
        <v>67</v>
      </c>
      <c r="B69" s="9" t="s">
        <v>457</v>
      </c>
      <c r="C69" s="9" t="s">
        <v>458</v>
      </c>
      <c r="D69" s="9" t="s">
        <v>41</v>
      </c>
      <c r="E69" s="9" t="s">
        <v>287</v>
      </c>
      <c r="F69" s="18">
        <v>49059</v>
      </c>
      <c r="G69" s="18">
        <v>47269</v>
      </c>
      <c r="H69" s="9">
        <f t="shared" ca="1" si="1"/>
        <v>2786</v>
      </c>
      <c r="I69" s="9" t="s">
        <v>1026</v>
      </c>
      <c r="J69" s="9"/>
      <c r="K69" s="9"/>
      <c r="L69" s="9"/>
      <c r="M69" s="9"/>
      <c r="N69" s="9"/>
      <c r="O69" s="9" t="s">
        <v>1244</v>
      </c>
    </row>
    <row r="70" spans="1:15" ht="38.25" x14ac:dyDescent="0.25">
      <c r="A70" s="9">
        <v>68</v>
      </c>
      <c r="B70" s="9" t="s">
        <v>460</v>
      </c>
      <c r="C70" s="9" t="s">
        <v>458</v>
      </c>
      <c r="D70" s="9" t="s">
        <v>41</v>
      </c>
      <c r="E70" s="9" t="s">
        <v>287</v>
      </c>
      <c r="F70" s="18">
        <v>49059</v>
      </c>
      <c r="G70" s="18">
        <v>47269</v>
      </c>
      <c r="H70" s="9">
        <f t="shared" ca="1" si="1"/>
        <v>2786</v>
      </c>
      <c r="I70" s="9" t="s">
        <v>1026</v>
      </c>
      <c r="J70" s="9"/>
      <c r="K70" s="9"/>
      <c r="L70" s="9"/>
      <c r="M70" s="9"/>
      <c r="N70" s="9"/>
      <c r="O70" s="9" t="s">
        <v>1244</v>
      </c>
    </row>
    <row r="71" spans="1:15" ht="38.25" x14ac:dyDescent="0.25">
      <c r="A71" s="9">
        <v>69</v>
      </c>
      <c r="B71" s="9" t="s">
        <v>462</v>
      </c>
      <c r="C71" s="9" t="s">
        <v>458</v>
      </c>
      <c r="D71" s="9" t="s">
        <v>41</v>
      </c>
      <c r="E71" s="9" t="s">
        <v>287</v>
      </c>
      <c r="F71" s="18">
        <v>49059</v>
      </c>
      <c r="G71" s="18">
        <v>47269</v>
      </c>
      <c r="H71" s="9">
        <f t="shared" ca="1" si="1"/>
        <v>2786</v>
      </c>
      <c r="I71" s="9" t="s">
        <v>1026</v>
      </c>
      <c r="J71" s="9"/>
      <c r="K71" s="9"/>
      <c r="L71" s="9"/>
      <c r="M71" s="9"/>
      <c r="N71" s="9"/>
      <c r="O71" s="9" t="s">
        <v>1244</v>
      </c>
    </row>
    <row r="72" spans="1:15" ht="38.25" x14ac:dyDescent="0.25">
      <c r="A72" s="9">
        <v>70</v>
      </c>
      <c r="B72" s="9" t="s">
        <v>464</v>
      </c>
      <c r="C72" s="9" t="s">
        <v>458</v>
      </c>
      <c r="D72" s="9" t="s">
        <v>41</v>
      </c>
      <c r="E72" s="9" t="s">
        <v>287</v>
      </c>
      <c r="F72" s="18">
        <v>49059</v>
      </c>
      <c r="G72" s="18">
        <v>47269</v>
      </c>
      <c r="H72" s="9">
        <f t="shared" ca="1" si="1"/>
        <v>2786</v>
      </c>
      <c r="I72" s="9" t="s">
        <v>1026</v>
      </c>
      <c r="J72" s="9"/>
      <c r="K72" s="9"/>
      <c r="L72" s="9"/>
      <c r="M72" s="9"/>
      <c r="N72" s="9"/>
      <c r="O72" s="9" t="s">
        <v>1244</v>
      </c>
    </row>
    <row r="73" spans="1:15" ht="38.25" x14ac:dyDescent="0.25">
      <c r="A73" s="9">
        <v>71</v>
      </c>
      <c r="B73" s="9" t="s">
        <v>466</v>
      </c>
      <c r="C73" s="9" t="s">
        <v>458</v>
      </c>
      <c r="D73" s="9" t="s">
        <v>41</v>
      </c>
      <c r="E73" s="9" t="s">
        <v>287</v>
      </c>
      <c r="F73" s="18">
        <v>49059</v>
      </c>
      <c r="G73" s="18">
        <v>47269</v>
      </c>
      <c r="H73" s="9">
        <f t="shared" ca="1" si="1"/>
        <v>2786</v>
      </c>
      <c r="I73" s="9" t="s">
        <v>1026</v>
      </c>
      <c r="J73" s="9"/>
      <c r="K73" s="9"/>
      <c r="L73" s="9"/>
      <c r="M73" s="9"/>
      <c r="N73" s="9"/>
      <c r="O73" s="9" t="s">
        <v>1244</v>
      </c>
    </row>
    <row r="74" spans="1:15" ht="25.5" x14ac:dyDescent="0.25">
      <c r="A74" s="9">
        <v>72</v>
      </c>
      <c r="B74" s="9" t="s">
        <v>468</v>
      </c>
      <c r="C74" s="9" t="s">
        <v>469</v>
      </c>
      <c r="D74" s="9" t="s">
        <v>41</v>
      </c>
      <c r="E74" s="9" t="s">
        <v>287</v>
      </c>
      <c r="F74" s="18">
        <v>49059</v>
      </c>
      <c r="G74" s="18">
        <v>47269</v>
      </c>
      <c r="H74" s="9">
        <f t="shared" ca="1" si="1"/>
        <v>2786</v>
      </c>
      <c r="I74" s="9" t="s">
        <v>1026</v>
      </c>
      <c r="J74" s="9"/>
      <c r="K74" s="9"/>
      <c r="L74" s="9"/>
      <c r="M74" s="9"/>
      <c r="N74" s="9"/>
      <c r="O74" s="9" t="s">
        <v>1244</v>
      </c>
    </row>
    <row r="75" spans="1:15" ht="25.5" x14ac:dyDescent="0.25">
      <c r="A75" s="9">
        <v>73</v>
      </c>
      <c r="B75" s="9" t="s">
        <v>471</v>
      </c>
      <c r="C75" s="9" t="s">
        <v>472</v>
      </c>
      <c r="D75" s="9" t="s">
        <v>41</v>
      </c>
      <c r="E75" s="9" t="s">
        <v>287</v>
      </c>
      <c r="F75" s="18">
        <v>49059</v>
      </c>
      <c r="G75" s="18">
        <v>47269</v>
      </c>
      <c r="H75" s="9">
        <f t="shared" ca="1" si="1"/>
        <v>2786</v>
      </c>
      <c r="I75" s="9" t="s">
        <v>1026</v>
      </c>
      <c r="J75" s="9"/>
      <c r="K75" s="9"/>
      <c r="L75" s="9"/>
      <c r="M75" s="9"/>
      <c r="N75" s="9"/>
      <c r="O75" s="9" t="s">
        <v>1244</v>
      </c>
    </row>
    <row r="76" spans="1:15" ht="25.5" x14ac:dyDescent="0.25">
      <c r="A76" s="9">
        <v>74</v>
      </c>
      <c r="B76" s="9" t="s">
        <v>475</v>
      </c>
      <c r="C76" s="9" t="s">
        <v>476</v>
      </c>
      <c r="D76" s="9" t="s">
        <v>41</v>
      </c>
      <c r="E76" s="9" t="s">
        <v>287</v>
      </c>
      <c r="F76" s="18">
        <v>49059</v>
      </c>
      <c r="G76" s="18">
        <v>47269</v>
      </c>
      <c r="H76" s="9">
        <f t="shared" ca="1" si="1"/>
        <v>2786</v>
      </c>
      <c r="I76" s="9" t="s">
        <v>1026</v>
      </c>
      <c r="J76" s="9"/>
      <c r="K76" s="9"/>
      <c r="L76" s="9"/>
      <c r="M76" s="9"/>
      <c r="N76" s="9"/>
      <c r="O76" s="9" t="s">
        <v>1244</v>
      </c>
    </row>
    <row r="77" spans="1:15" ht="25.5" x14ac:dyDescent="0.25">
      <c r="A77" s="9">
        <v>75</v>
      </c>
      <c r="B77" s="9" t="s">
        <v>478</v>
      </c>
      <c r="C77" s="9" t="s">
        <v>479</v>
      </c>
      <c r="D77" s="9" t="s">
        <v>41</v>
      </c>
      <c r="E77" s="9" t="s">
        <v>287</v>
      </c>
      <c r="F77" s="18">
        <v>49059</v>
      </c>
      <c r="G77" s="18">
        <v>47269</v>
      </c>
      <c r="H77" s="9">
        <f t="shared" ca="1" si="1"/>
        <v>2786</v>
      </c>
      <c r="I77" s="9" t="s">
        <v>1026</v>
      </c>
      <c r="J77" s="9"/>
      <c r="K77" s="9"/>
      <c r="L77" s="9"/>
      <c r="M77" s="9"/>
      <c r="N77" s="9"/>
      <c r="O77" s="9" t="s">
        <v>1244</v>
      </c>
    </row>
    <row r="78" spans="1:15" ht="25.5" x14ac:dyDescent="0.25">
      <c r="A78" s="9">
        <v>76</v>
      </c>
      <c r="B78" s="9" t="s">
        <v>481</v>
      </c>
      <c r="C78" s="9" t="s">
        <v>479</v>
      </c>
      <c r="D78" s="9" t="s">
        <v>41</v>
      </c>
      <c r="E78" s="9" t="s">
        <v>287</v>
      </c>
      <c r="F78" s="18">
        <v>49059</v>
      </c>
      <c r="G78" s="18">
        <v>47269</v>
      </c>
      <c r="H78" s="9">
        <f t="shared" ca="1" si="1"/>
        <v>2786</v>
      </c>
      <c r="I78" s="9" t="s">
        <v>1026</v>
      </c>
      <c r="J78" s="9"/>
      <c r="K78" s="9"/>
      <c r="L78" s="9"/>
      <c r="M78" s="9"/>
      <c r="N78" s="9"/>
      <c r="O78" s="9" t="s">
        <v>1244</v>
      </c>
    </row>
    <row r="79" spans="1:15" ht="25.5" x14ac:dyDescent="0.25">
      <c r="A79" s="9">
        <v>77</v>
      </c>
      <c r="B79" s="9" t="s">
        <v>483</v>
      </c>
      <c r="C79" s="9" t="s">
        <v>484</v>
      </c>
      <c r="D79" s="9" t="s">
        <v>41</v>
      </c>
      <c r="E79" s="9" t="s">
        <v>287</v>
      </c>
      <c r="F79" s="18">
        <v>49059</v>
      </c>
      <c r="G79" s="18">
        <v>47269</v>
      </c>
      <c r="H79" s="9">
        <f t="shared" ca="1" si="1"/>
        <v>2786</v>
      </c>
      <c r="I79" s="9" t="s">
        <v>1026</v>
      </c>
      <c r="J79" s="9"/>
      <c r="K79" s="9"/>
      <c r="L79" s="9"/>
      <c r="M79" s="9"/>
      <c r="N79" s="9"/>
      <c r="O79" s="9" t="s">
        <v>1244</v>
      </c>
    </row>
    <row r="80" spans="1:15" ht="25.5" x14ac:dyDescent="0.25">
      <c r="A80" s="9">
        <v>78</v>
      </c>
      <c r="B80" s="9" t="s">
        <v>486</v>
      </c>
      <c r="C80" s="9" t="s">
        <v>487</v>
      </c>
      <c r="D80" s="9" t="s">
        <v>41</v>
      </c>
      <c r="E80" s="9" t="s">
        <v>287</v>
      </c>
      <c r="F80" s="18">
        <v>49059</v>
      </c>
      <c r="G80" s="18">
        <v>47269</v>
      </c>
      <c r="H80" s="9">
        <f t="shared" ca="1" si="1"/>
        <v>2786</v>
      </c>
      <c r="I80" s="9" t="s">
        <v>1026</v>
      </c>
      <c r="J80" s="9"/>
      <c r="K80" s="9"/>
      <c r="L80" s="9"/>
      <c r="M80" s="9"/>
      <c r="N80" s="9"/>
      <c r="O80" s="9" t="s">
        <v>1244</v>
      </c>
    </row>
    <row r="81" spans="1:15" ht="25.5" x14ac:dyDescent="0.25">
      <c r="A81" s="9">
        <v>79</v>
      </c>
      <c r="B81" s="9" t="s">
        <v>489</v>
      </c>
      <c r="C81" s="9" t="s">
        <v>487</v>
      </c>
      <c r="D81" s="9" t="s">
        <v>41</v>
      </c>
      <c r="E81" s="9" t="s">
        <v>287</v>
      </c>
      <c r="F81" s="18">
        <v>49059</v>
      </c>
      <c r="G81" s="18">
        <v>47269</v>
      </c>
      <c r="H81" s="9">
        <f t="shared" ca="1" si="1"/>
        <v>2786</v>
      </c>
      <c r="I81" s="9" t="s">
        <v>1026</v>
      </c>
      <c r="J81" s="9"/>
      <c r="K81" s="9"/>
      <c r="L81" s="9"/>
      <c r="M81" s="9"/>
      <c r="N81" s="9"/>
      <c r="O81" s="9" t="s">
        <v>1244</v>
      </c>
    </row>
    <row r="82" spans="1:15" ht="25.5" x14ac:dyDescent="0.25">
      <c r="A82" s="9">
        <v>80</v>
      </c>
      <c r="B82" s="9" t="s">
        <v>491</v>
      </c>
      <c r="C82" s="9" t="s">
        <v>487</v>
      </c>
      <c r="D82" s="9" t="s">
        <v>41</v>
      </c>
      <c r="E82" s="9" t="s">
        <v>287</v>
      </c>
      <c r="F82" s="18">
        <v>49059</v>
      </c>
      <c r="G82" s="18">
        <v>47269</v>
      </c>
      <c r="H82" s="9">
        <f t="shared" ca="1" si="1"/>
        <v>2786</v>
      </c>
      <c r="I82" s="9" t="s">
        <v>1026</v>
      </c>
      <c r="J82" s="9"/>
      <c r="K82" s="9"/>
      <c r="L82" s="9"/>
      <c r="M82" s="9"/>
      <c r="N82" s="9"/>
      <c r="O82" s="9" t="s">
        <v>1244</v>
      </c>
    </row>
    <row r="83" spans="1:15" ht="25.5" x14ac:dyDescent="0.25">
      <c r="A83" s="9">
        <v>81</v>
      </c>
      <c r="B83" s="9" t="s">
        <v>493</v>
      </c>
      <c r="C83" s="9" t="s">
        <v>487</v>
      </c>
      <c r="D83" s="9" t="s">
        <v>41</v>
      </c>
      <c r="E83" s="9" t="s">
        <v>287</v>
      </c>
      <c r="F83" s="18">
        <v>49059</v>
      </c>
      <c r="G83" s="18">
        <v>47269</v>
      </c>
      <c r="H83" s="9">
        <f t="shared" ca="1" si="1"/>
        <v>2786</v>
      </c>
      <c r="I83" s="9" t="s">
        <v>1026</v>
      </c>
      <c r="J83" s="9"/>
      <c r="K83" s="9"/>
      <c r="L83" s="9"/>
      <c r="M83" s="9"/>
      <c r="N83" s="9"/>
      <c r="O83" s="9" t="s">
        <v>1244</v>
      </c>
    </row>
    <row r="84" spans="1:15" ht="25.5" x14ac:dyDescent="0.25">
      <c r="A84" s="9">
        <v>82</v>
      </c>
      <c r="B84" s="9" t="s">
        <v>495</v>
      </c>
      <c r="C84" s="9" t="s">
        <v>487</v>
      </c>
      <c r="D84" s="9" t="s">
        <v>41</v>
      </c>
      <c r="E84" s="9" t="s">
        <v>287</v>
      </c>
      <c r="F84" s="18">
        <v>49059</v>
      </c>
      <c r="G84" s="18">
        <v>47269</v>
      </c>
      <c r="H84" s="9">
        <f t="shared" ca="1" si="1"/>
        <v>2786</v>
      </c>
      <c r="I84" s="9" t="s">
        <v>1026</v>
      </c>
      <c r="J84" s="9"/>
      <c r="K84" s="9"/>
      <c r="L84" s="9"/>
      <c r="M84" s="9"/>
      <c r="N84" s="9"/>
      <c r="O84" s="9" t="s">
        <v>1244</v>
      </c>
    </row>
    <row r="85" spans="1:15" ht="25.5" x14ac:dyDescent="0.25">
      <c r="A85" s="9">
        <v>83</v>
      </c>
      <c r="B85" s="9" t="s">
        <v>497</v>
      </c>
      <c r="C85" s="9" t="s">
        <v>487</v>
      </c>
      <c r="D85" s="9" t="s">
        <v>41</v>
      </c>
      <c r="E85" s="9" t="s">
        <v>287</v>
      </c>
      <c r="F85" s="18">
        <v>49059</v>
      </c>
      <c r="G85" s="18">
        <v>47269</v>
      </c>
      <c r="H85" s="9">
        <f t="shared" ca="1" si="1"/>
        <v>2786</v>
      </c>
      <c r="I85" s="9" t="s">
        <v>1026</v>
      </c>
      <c r="J85" s="9"/>
      <c r="K85" s="9"/>
      <c r="L85" s="9"/>
      <c r="M85" s="9"/>
      <c r="N85" s="9"/>
      <c r="O85" s="9" t="s">
        <v>1244</v>
      </c>
    </row>
    <row r="86" spans="1:15" ht="25.5" x14ac:dyDescent="0.25">
      <c r="A86" s="9">
        <v>84</v>
      </c>
      <c r="B86" s="9" t="s">
        <v>499</v>
      </c>
      <c r="C86" s="9" t="s">
        <v>487</v>
      </c>
      <c r="D86" s="9" t="s">
        <v>41</v>
      </c>
      <c r="E86" s="9" t="s">
        <v>287</v>
      </c>
      <c r="F86" s="18">
        <v>49059</v>
      </c>
      <c r="G86" s="18">
        <v>47269</v>
      </c>
      <c r="H86" s="9">
        <f t="shared" ca="1" si="1"/>
        <v>2786</v>
      </c>
      <c r="I86" s="9" t="s">
        <v>1026</v>
      </c>
      <c r="J86" s="9"/>
      <c r="K86" s="9"/>
      <c r="L86" s="9"/>
      <c r="M86" s="9"/>
      <c r="N86" s="9"/>
      <c r="O86" s="9" t="s">
        <v>1244</v>
      </c>
    </row>
    <row r="87" spans="1:15" ht="25.5" x14ac:dyDescent="0.25">
      <c r="A87" s="9">
        <v>85</v>
      </c>
      <c r="B87" s="9" t="s">
        <v>501</v>
      </c>
      <c r="C87" s="9" t="s">
        <v>487</v>
      </c>
      <c r="D87" s="9" t="s">
        <v>41</v>
      </c>
      <c r="E87" s="9" t="s">
        <v>287</v>
      </c>
      <c r="F87" s="18">
        <v>49059</v>
      </c>
      <c r="G87" s="18">
        <v>47269</v>
      </c>
      <c r="H87" s="9">
        <f t="shared" ca="1" si="1"/>
        <v>2786</v>
      </c>
      <c r="I87" s="9" t="s">
        <v>1026</v>
      </c>
      <c r="J87" s="9"/>
      <c r="K87" s="9"/>
      <c r="L87" s="9"/>
      <c r="M87" s="9"/>
      <c r="N87" s="9"/>
      <c r="O87" s="9" t="s">
        <v>1244</v>
      </c>
    </row>
    <row r="88" spans="1:15" ht="25.5" x14ac:dyDescent="0.25">
      <c r="A88" s="9">
        <v>86</v>
      </c>
      <c r="B88" s="9" t="s">
        <v>503</v>
      </c>
      <c r="C88" s="9" t="s">
        <v>487</v>
      </c>
      <c r="D88" s="9" t="s">
        <v>41</v>
      </c>
      <c r="E88" s="9" t="s">
        <v>287</v>
      </c>
      <c r="F88" s="18">
        <v>49059</v>
      </c>
      <c r="G88" s="18">
        <v>47269</v>
      </c>
      <c r="H88" s="9">
        <f t="shared" ca="1" si="1"/>
        <v>2786</v>
      </c>
      <c r="I88" s="9" t="s">
        <v>1026</v>
      </c>
      <c r="J88" s="9"/>
      <c r="K88" s="9"/>
      <c r="L88" s="9"/>
      <c r="M88" s="9"/>
      <c r="N88" s="9"/>
      <c r="O88" s="9" t="s">
        <v>1244</v>
      </c>
    </row>
    <row r="89" spans="1:15" ht="25.5" x14ac:dyDescent="0.25">
      <c r="A89" s="9">
        <v>87</v>
      </c>
      <c r="B89" s="9" t="s">
        <v>505</v>
      </c>
      <c r="C89" s="9" t="s">
        <v>506</v>
      </c>
      <c r="D89" s="9" t="s">
        <v>41</v>
      </c>
      <c r="E89" s="9" t="s">
        <v>287</v>
      </c>
      <c r="F89" s="18">
        <v>49059</v>
      </c>
      <c r="G89" s="18">
        <v>47269</v>
      </c>
      <c r="H89" s="9">
        <f t="shared" ca="1" si="1"/>
        <v>2786</v>
      </c>
      <c r="I89" s="9" t="s">
        <v>1026</v>
      </c>
      <c r="J89" s="9"/>
      <c r="K89" s="9"/>
      <c r="L89" s="9"/>
      <c r="M89" s="9"/>
      <c r="N89" s="9"/>
      <c r="O89" s="9" t="s">
        <v>1244</v>
      </c>
    </row>
    <row r="90" spans="1:15" ht="38.25" x14ac:dyDescent="0.25">
      <c r="A90" s="9">
        <v>88</v>
      </c>
      <c r="B90" s="9" t="s">
        <v>508</v>
      </c>
      <c r="C90" s="9" t="s">
        <v>509</v>
      </c>
      <c r="D90" s="9" t="s">
        <v>41</v>
      </c>
      <c r="E90" s="9" t="s">
        <v>287</v>
      </c>
      <c r="F90" s="18">
        <v>49059</v>
      </c>
      <c r="G90" s="18">
        <v>47269</v>
      </c>
      <c r="H90" s="9">
        <f t="shared" ca="1" si="1"/>
        <v>2786</v>
      </c>
      <c r="I90" s="9" t="s">
        <v>1026</v>
      </c>
      <c r="J90" s="9"/>
      <c r="K90" s="9"/>
      <c r="L90" s="9"/>
      <c r="M90" s="9"/>
      <c r="N90" s="9"/>
      <c r="O90" s="9" t="s">
        <v>1244</v>
      </c>
    </row>
    <row r="91" spans="1:15" ht="38.25" x14ac:dyDescent="0.25">
      <c r="A91" s="9">
        <v>89</v>
      </c>
      <c r="B91" s="9" t="s">
        <v>511</v>
      </c>
      <c r="C91" s="9" t="s">
        <v>509</v>
      </c>
      <c r="D91" s="9" t="s">
        <v>41</v>
      </c>
      <c r="E91" s="9" t="s">
        <v>287</v>
      </c>
      <c r="F91" s="18">
        <v>49059</v>
      </c>
      <c r="G91" s="18">
        <v>47269</v>
      </c>
      <c r="H91" s="9">
        <f t="shared" ca="1" si="1"/>
        <v>2786</v>
      </c>
      <c r="I91" s="9" t="s">
        <v>1026</v>
      </c>
      <c r="J91" s="9"/>
      <c r="K91" s="9"/>
      <c r="L91" s="9"/>
      <c r="M91" s="9"/>
      <c r="N91" s="9"/>
      <c r="O91" s="9" t="s">
        <v>1244</v>
      </c>
    </row>
    <row r="92" spans="1:15" ht="38.25" x14ac:dyDescent="0.25">
      <c r="A92" s="9">
        <v>90</v>
      </c>
      <c r="B92" s="9" t="s">
        <v>513</v>
      </c>
      <c r="C92" s="9" t="s">
        <v>509</v>
      </c>
      <c r="D92" s="9" t="s">
        <v>41</v>
      </c>
      <c r="E92" s="9" t="s">
        <v>287</v>
      </c>
      <c r="F92" s="18">
        <v>49059</v>
      </c>
      <c r="G92" s="18">
        <v>47269</v>
      </c>
      <c r="H92" s="9">
        <f t="shared" ca="1" si="1"/>
        <v>2786</v>
      </c>
      <c r="I92" s="9" t="s">
        <v>1026</v>
      </c>
      <c r="J92" s="9"/>
      <c r="K92" s="9"/>
      <c r="L92" s="9"/>
      <c r="M92" s="9"/>
      <c r="N92" s="9"/>
      <c r="O92" s="9" t="s">
        <v>1244</v>
      </c>
    </row>
    <row r="93" spans="1:15" x14ac:dyDescent="0.25">
      <c r="A93" s="9">
        <v>91</v>
      </c>
      <c r="B93" s="9" t="s">
        <v>515</v>
      </c>
      <c r="C93" s="9" t="s">
        <v>516</v>
      </c>
      <c r="D93" s="9" t="s">
        <v>41</v>
      </c>
      <c r="E93" s="9" t="s">
        <v>287</v>
      </c>
      <c r="F93" s="18">
        <v>49059</v>
      </c>
      <c r="G93" s="18">
        <v>47269</v>
      </c>
      <c r="H93" s="9">
        <f t="shared" ca="1" si="1"/>
        <v>2786</v>
      </c>
      <c r="I93" s="9" t="s">
        <v>1026</v>
      </c>
      <c r="J93" s="9"/>
      <c r="K93" s="9"/>
      <c r="L93" s="9"/>
      <c r="M93" s="9"/>
      <c r="N93" s="9"/>
      <c r="O93" s="9" t="s">
        <v>1244</v>
      </c>
    </row>
    <row r="94" spans="1:15" x14ac:dyDescent="0.25">
      <c r="A94" s="9">
        <v>92</v>
      </c>
      <c r="B94" s="9" t="s">
        <v>518</v>
      </c>
      <c r="C94" s="9" t="s">
        <v>519</v>
      </c>
      <c r="D94" s="9" t="s">
        <v>41</v>
      </c>
      <c r="E94" s="9" t="s">
        <v>287</v>
      </c>
      <c r="F94" s="18">
        <v>49059</v>
      </c>
      <c r="G94" s="18">
        <v>47269</v>
      </c>
      <c r="H94" s="9">
        <f t="shared" ca="1" si="1"/>
        <v>2786</v>
      </c>
      <c r="I94" s="9" t="s">
        <v>1026</v>
      </c>
      <c r="J94" s="9"/>
      <c r="K94" s="9"/>
      <c r="L94" s="9"/>
      <c r="M94" s="9"/>
      <c r="N94" s="9"/>
      <c r="O94" s="9" t="s">
        <v>1244</v>
      </c>
    </row>
    <row r="95" spans="1:15" ht="25.5" x14ac:dyDescent="0.25">
      <c r="A95" s="9">
        <v>93</v>
      </c>
      <c r="B95" s="9" t="s">
        <v>521</v>
      </c>
      <c r="C95" s="9" t="s">
        <v>522</v>
      </c>
      <c r="D95" s="9" t="s">
        <v>41</v>
      </c>
      <c r="E95" s="9" t="s">
        <v>287</v>
      </c>
      <c r="F95" s="18">
        <v>49059</v>
      </c>
      <c r="G95" s="18">
        <v>47269</v>
      </c>
      <c r="H95" s="9">
        <f t="shared" ca="1" si="1"/>
        <v>2786</v>
      </c>
      <c r="I95" s="9" t="s">
        <v>1026</v>
      </c>
      <c r="J95" s="9"/>
      <c r="K95" s="9"/>
      <c r="L95" s="9"/>
      <c r="M95" s="9"/>
      <c r="N95" s="9"/>
      <c r="O95" s="9" t="s">
        <v>1244</v>
      </c>
    </row>
    <row r="96" spans="1:15" ht="25.5" x14ac:dyDescent="0.25">
      <c r="A96" s="9">
        <v>94</v>
      </c>
      <c r="B96" s="9" t="s">
        <v>524</v>
      </c>
      <c r="C96" s="9" t="s">
        <v>525</v>
      </c>
      <c r="D96" s="9" t="s">
        <v>41</v>
      </c>
      <c r="E96" s="9" t="s">
        <v>287</v>
      </c>
      <c r="F96" s="18">
        <v>49059</v>
      </c>
      <c r="G96" s="18">
        <v>47269</v>
      </c>
      <c r="H96" s="9">
        <f t="shared" ca="1" si="1"/>
        <v>2786</v>
      </c>
      <c r="I96" s="9" t="s">
        <v>1026</v>
      </c>
      <c r="J96" s="9"/>
      <c r="K96" s="9"/>
      <c r="L96" s="9"/>
      <c r="M96" s="9"/>
      <c r="N96" s="9"/>
      <c r="O96" s="9" t="s">
        <v>1244</v>
      </c>
    </row>
    <row r="97" spans="1:15" ht="25.5" x14ac:dyDescent="0.25">
      <c r="A97" s="9">
        <v>95</v>
      </c>
      <c r="B97" s="9" t="s">
        <v>527</v>
      </c>
      <c r="C97" s="9" t="s">
        <v>528</v>
      </c>
      <c r="D97" s="9" t="s">
        <v>41</v>
      </c>
      <c r="E97" s="9" t="s">
        <v>287</v>
      </c>
      <c r="F97" s="18">
        <v>49059</v>
      </c>
      <c r="G97" s="18">
        <v>47269</v>
      </c>
      <c r="H97" s="9">
        <f t="shared" ca="1" si="1"/>
        <v>2786</v>
      </c>
      <c r="I97" s="9" t="s">
        <v>1026</v>
      </c>
      <c r="J97" s="9"/>
      <c r="K97" s="9"/>
      <c r="L97" s="9"/>
      <c r="M97" s="9"/>
      <c r="N97" s="9"/>
      <c r="O97" s="9" t="s">
        <v>1244</v>
      </c>
    </row>
    <row r="98" spans="1:15" ht="25.5" x14ac:dyDescent="0.25">
      <c r="A98" s="9">
        <v>96</v>
      </c>
      <c r="B98" s="9" t="s">
        <v>530</v>
      </c>
      <c r="C98" s="9" t="s">
        <v>531</v>
      </c>
      <c r="D98" s="9" t="s">
        <v>41</v>
      </c>
      <c r="E98" s="9" t="s">
        <v>287</v>
      </c>
      <c r="F98" s="18">
        <v>49059</v>
      </c>
      <c r="G98" s="18">
        <v>47269</v>
      </c>
      <c r="H98" s="9">
        <f t="shared" ca="1" si="1"/>
        <v>2786</v>
      </c>
      <c r="I98" s="9" t="s">
        <v>1026</v>
      </c>
      <c r="J98" s="9"/>
      <c r="K98" s="9"/>
      <c r="L98" s="9"/>
      <c r="M98" s="9"/>
      <c r="N98" s="9"/>
      <c r="O98" s="9" t="s">
        <v>1244</v>
      </c>
    </row>
    <row r="99" spans="1:15" x14ac:dyDescent="0.25">
      <c r="A99" s="9">
        <v>97</v>
      </c>
      <c r="B99" s="9" t="s">
        <v>533</v>
      </c>
      <c r="C99" s="9" t="s">
        <v>534</v>
      </c>
      <c r="D99" s="9" t="s">
        <v>41</v>
      </c>
      <c r="E99" s="9" t="s">
        <v>287</v>
      </c>
      <c r="F99" s="18">
        <v>49059</v>
      </c>
      <c r="G99" s="18">
        <v>47269</v>
      </c>
      <c r="H99" s="9">
        <f t="shared" ca="1" si="1"/>
        <v>2786</v>
      </c>
      <c r="I99" s="9" t="s">
        <v>1026</v>
      </c>
      <c r="J99" s="9"/>
      <c r="K99" s="9"/>
      <c r="L99" s="9"/>
      <c r="M99" s="9"/>
      <c r="N99" s="9"/>
      <c r="O99" s="9" t="s">
        <v>1244</v>
      </c>
    </row>
    <row r="100" spans="1:15" ht="25.5" x14ac:dyDescent="0.25">
      <c r="A100" s="9">
        <v>98</v>
      </c>
      <c r="B100" s="9" t="s">
        <v>536</v>
      </c>
      <c r="C100" s="9" t="s">
        <v>537</v>
      </c>
      <c r="D100" s="9" t="s">
        <v>41</v>
      </c>
      <c r="E100" s="9" t="s">
        <v>287</v>
      </c>
      <c r="F100" s="18">
        <v>49059</v>
      </c>
      <c r="G100" s="18">
        <v>47269</v>
      </c>
      <c r="H100" s="9">
        <f t="shared" ca="1" si="1"/>
        <v>2786</v>
      </c>
      <c r="I100" s="9" t="s">
        <v>1026</v>
      </c>
      <c r="J100" s="9"/>
      <c r="K100" s="9"/>
      <c r="L100" s="9"/>
      <c r="M100" s="9"/>
      <c r="N100" s="9"/>
      <c r="O100" s="9" t="s">
        <v>1244</v>
      </c>
    </row>
    <row r="101" spans="1:15" x14ac:dyDescent="0.25">
      <c r="A101" s="9">
        <v>99</v>
      </c>
      <c r="B101" s="9" t="s">
        <v>539</v>
      </c>
      <c r="C101" s="9" t="s">
        <v>537</v>
      </c>
      <c r="D101" s="9" t="s">
        <v>41</v>
      </c>
      <c r="E101" s="9" t="s">
        <v>287</v>
      </c>
      <c r="F101" s="18">
        <v>49059</v>
      </c>
      <c r="G101" s="18">
        <v>47269</v>
      </c>
      <c r="H101" s="9">
        <f t="shared" ca="1" si="1"/>
        <v>2786</v>
      </c>
      <c r="I101" s="9" t="s">
        <v>1026</v>
      </c>
      <c r="J101" s="9"/>
      <c r="K101" s="9"/>
      <c r="L101" s="9"/>
      <c r="M101" s="9"/>
      <c r="N101" s="9"/>
      <c r="O101" s="9" t="s">
        <v>1244</v>
      </c>
    </row>
    <row r="102" spans="1:15" x14ac:dyDescent="0.25">
      <c r="A102" s="9">
        <v>100</v>
      </c>
      <c r="B102" s="9" t="s">
        <v>541</v>
      </c>
      <c r="C102" s="9" t="s">
        <v>542</v>
      </c>
      <c r="D102" s="9" t="s">
        <v>41</v>
      </c>
      <c r="E102" s="9" t="s">
        <v>287</v>
      </c>
      <c r="F102" s="18">
        <v>49059</v>
      </c>
      <c r="G102" s="18">
        <v>47269</v>
      </c>
      <c r="H102" s="9">
        <f t="shared" ca="1" si="1"/>
        <v>2786</v>
      </c>
      <c r="I102" s="9" t="s">
        <v>1026</v>
      </c>
      <c r="J102" s="9"/>
      <c r="K102" s="9"/>
      <c r="L102" s="9"/>
      <c r="M102" s="9"/>
      <c r="N102" s="9"/>
      <c r="O102" s="9" t="s">
        <v>1244</v>
      </c>
    </row>
    <row r="103" spans="1:15" ht="25.5" x14ac:dyDescent="0.25">
      <c r="A103" s="9">
        <v>101</v>
      </c>
      <c r="B103" s="9" t="s">
        <v>544</v>
      </c>
      <c r="C103" s="9" t="s">
        <v>545</v>
      </c>
      <c r="D103" s="9" t="s">
        <v>41</v>
      </c>
      <c r="E103" s="9" t="s">
        <v>287</v>
      </c>
      <c r="F103" s="18">
        <v>49059</v>
      </c>
      <c r="G103" s="18">
        <v>47269</v>
      </c>
      <c r="H103" s="9">
        <f t="shared" ca="1" si="1"/>
        <v>2786</v>
      </c>
      <c r="I103" s="9" t="s">
        <v>1026</v>
      </c>
      <c r="J103" s="9"/>
      <c r="K103" s="9"/>
      <c r="L103" s="9"/>
      <c r="M103" s="9"/>
      <c r="N103" s="9"/>
      <c r="O103" s="9" t="s">
        <v>1244</v>
      </c>
    </row>
    <row r="104" spans="1:15" ht="25.5" x14ac:dyDescent="0.25">
      <c r="A104" s="9">
        <v>102</v>
      </c>
      <c r="B104" s="9" t="s">
        <v>547</v>
      </c>
      <c r="C104" s="9" t="s">
        <v>545</v>
      </c>
      <c r="D104" s="9" t="s">
        <v>41</v>
      </c>
      <c r="E104" s="9" t="s">
        <v>287</v>
      </c>
      <c r="F104" s="18">
        <v>49059</v>
      </c>
      <c r="G104" s="18">
        <v>47269</v>
      </c>
      <c r="H104" s="9">
        <f t="shared" ca="1" si="1"/>
        <v>2786</v>
      </c>
      <c r="I104" s="9" t="s">
        <v>1026</v>
      </c>
      <c r="J104" s="9"/>
      <c r="K104" s="9"/>
      <c r="L104" s="9"/>
      <c r="M104" s="9"/>
      <c r="N104" s="9"/>
      <c r="O104" s="9" t="s">
        <v>1244</v>
      </c>
    </row>
    <row r="105" spans="1:15" ht="25.5" x14ac:dyDescent="0.25">
      <c r="A105" s="9">
        <v>103</v>
      </c>
      <c r="B105" s="9" t="s">
        <v>549</v>
      </c>
      <c r="C105" s="9" t="s">
        <v>545</v>
      </c>
      <c r="D105" s="9" t="s">
        <v>41</v>
      </c>
      <c r="E105" s="9" t="s">
        <v>287</v>
      </c>
      <c r="F105" s="18">
        <v>49059</v>
      </c>
      <c r="G105" s="18">
        <v>47269</v>
      </c>
      <c r="H105" s="9">
        <f t="shared" ca="1" si="1"/>
        <v>2786</v>
      </c>
      <c r="I105" s="9" t="s">
        <v>1026</v>
      </c>
      <c r="J105" s="9"/>
      <c r="K105" s="9"/>
      <c r="L105" s="9"/>
      <c r="M105" s="9"/>
      <c r="N105" s="9"/>
      <c r="O105" s="9" t="s">
        <v>1244</v>
      </c>
    </row>
    <row r="106" spans="1:15" ht="25.5" x14ac:dyDescent="0.25">
      <c r="A106" s="9">
        <v>104</v>
      </c>
      <c r="B106" s="9" t="s">
        <v>551</v>
      </c>
      <c r="C106" s="9" t="s">
        <v>545</v>
      </c>
      <c r="D106" s="9" t="s">
        <v>41</v>
      </c>
      <c r="E106" s="9" t="s">
        <v>287</v>
      </c>
      <c r="F106" s="18">
        <v>49059</v>
      </c>
      <c r="G106" s="18">
        <v>47269</v>
      </c>
      <c r="H106" s="9">
        <f t="shared" ca="1" si="1"/>
        <v>2786</v>
      </c>
      <c r="I106" s="9" t="s">
        <v>1026</v>
      </c>
      <c r="J106" s="9"/>
      <c r="K106" s="9"/>
      <c r="L106" s="9"/>
      <c r="M106" s="9"/>
      <c r="N106" s="9"/>
      <c r="O106" s="9" t="s">
        <v>1244</v>
      </c>
    </row>
    <row r="107" spans="1:15" ht="25.5" x14ac:dyDescent="0.25">
      <c r="A107" s="9">
        <v>105</v>
      </c>
      <c r="B107" s="9" t="s">
        <v>553</v>
      </c>
      <c r="C107" s="9" t="s">
        <v>554</v>
      </c>
      <c r="D107" s="9" t="s">
        <v>41</v>
      </c>
      <c r="E107" s="9" t="s">
        <v>287</v>
      </c>
      <c r="F107" s="18">
        <v>49059</v>
      </c>
      <c r="G107" s="18">
        <v>47269</v>
      </c>
      <c r="H107" s="9">
        <f t="shared" ca="1" si="1"/>
        <v>2786</v>
      </c>
      <c r="I107" s="9" t="s">
        <v>1026</v>
      </c>
      <c r="J107" s="9"/>
      <c r="K107" s="9"/>
      <c r="L107" s="9"/>
      <c r="M107" s="9"/>
      <c r="N107" s="9"/>
      <c r="O107" s="9" t="s">
        <v>1244</v>
      </c>
    </row>
    <row r="108" spans="1:15" ht="25.5" x14ac:dyDescent="0.25">
      <c r="A108" s="9">
        <v>106</v>
      </c>
      <c r="B108" s="9" t="s">
        <v>556</v>
      </c>
      <c r="C108" s="9" t="s">
        <v>557</v>
      </c>
      <c r="D108" s="9" t="s">
        <v>41</v>
      </c>
      <c r="E108" s="9" t="s">
        <v>287</v>
      </c>
      <c r="F108" s="18">
        <v>49059</v>
      </c>
      <c r="G108" s="18">
        <v>47269</v>
      </c>
      <c r="H108" s="9">
        <f t="shared" ca="1" si="1"/>
        <v>2786</v>
      </c>
      <c r="I108" s="9" t="s">
        <v>1026</v>
      </c>
      <c r="J108" s="9"/>
      <c r="K108" s="9"/>
      <c r="L108" s="9"/>
      <c r="M108" s="9"/>
      <c r="N108" s="9"/>
      <c r="O108" s="9" t="s">
        <v>1244</v>
      </c>
    </row>
    <row r="109" spans="1:15" x14ac:dyDescent="0.25">
      <c r="A109" s="9">
        <v>107</v>
      </c>
      <c r="B109" s="9" t="s">
        <v>559</v>
      </c>
      <c r="C109" s="9" t="s">
        <v>560</v>
      </c>
      <c r="D109" s="9" t="s">
        <v>41</v>
      </c>
      <c r="E109" s="9" t="s">
        <v>287</v>
      </c>
      <c r="F109" s="18">
        <v>49059</v>
      </c>
      <c r="G109" s="18">
        <v>47269</v>
      </c>
      <c r="H109" s="9">
        <f t="shared" ca="1" si="1"/>
        <v>2786</v>
      </c>
      <c r="I109" s="9" t="s">
        <v>1026</v>
      </c>
      <c r="J109" s="9"/>
      <c r="K109" s="9"/>
      <c r="L109" s="9"/>
      <c r="M109" s="9"/>
      <c r="N109" s="9"/>
      <c r="O109" s="9" t="s">
        <v>1244</v>
      </c>
    </row>
    <row r="110" spans="1:15" x14ac:dyDescent="0.25">
      <c r="A110" s="9">
        <v>108</v>
      </c>
      <c r="B110" s="9" t="s">
        <v>562</v>
      </c>
      <c r="C110" s="9" t="s">
        <v>563</v>
      </c>
      <c r="D110" s="9" t="s">
        <v>41</v>
      </c>
      <c r="E110" s="9" t="s">
        <v>287</v>
      </c>
      <c r="F110" s="18">
        <v>49059</v>
      </c>
      <c r="G110" s="18">
        <v>47269</v>
      </c>
      <c r="H110" s="9">
        <f t="shared" ca="1" si="1"/>
        <v>2786</v>
      </c>
      <c r="I110" s="9" t="s">
        <v>1026</v>
      </c>
      <c r="J110" s="9"/>
      <c r="K110" s="9"/>
      <c r="L110" s="9"/>
      <c r="M110" s="9"/>
      <c r="N110" s="9"/>
      <c r="O110" s="9" t="s">
        <v>1244</v>
      </c>
    </row>
    <row r="111" spans="1:15" ht="25.5" x14ac:dyDescent="0.25">
      <c r="A111" s="9">
        <v>109</v>
      </c>
      <c r="B111" s="9" t="s">
        <v>565</v>
      </c>
      <c r="C111" s="9" t="s">
        <v>566</v>
      </c>
      <c r="D111" s="9" t="s">
        <v>41</v>
      </c>
      <c r="E111" s="9" t="s">
        <v>287</v>
      </c>
      <c r="F111" s="18">
        <v>49059</v>
      </c>
      <c r="G111" s="18">
        <v>47269</v>
      </c>
      <c r="H111" s="9">
        <f t="shared" ca="1" si="1"/>
        <v>2786</v>
      </c>
      <c r="I111" s="9" t="s">
        <v>1026</v>
      </c>
      <c r="J111" s="9"/>
      <c r="K111" s="9"/>
      <c r="L111" s="9"/>
      <c r="M111" s="9"/>
      <c r="N111" s="9"/>
      <c r="O111" s="9" t="s">
        <v>1244</v>
      </c>
    </row>
    <row r="112" spans="1:15" x14ac:dyDescent="0.25">
      <c r="A112" s="9">
        <v>110</v>
      </c>
      <c r="B112" s="9" t="s">
        <v>568</v>
      </c>
      <c r="C112" s="9" t="s">
        <v>569</v>
      </c>
      <c r="D112" s="9" t="s">
        <v>41</v>
      </c>
      <c r="E112" s="9" t="s">
        <v>287</v>
      </c>
      <c r="F112" s="18">
        <v>49059</v>
      </c>
      <c r="G112" s="18">
        <v>47269</v>
      </c>
      <c r="H112" s="9">
        <f t="shared" ca="1" si="1"/>
        <v>2786</v>
      </c>
      <c r="I112" s="9" t="s">
        <v>1026</v>
      </c>
      <c r="J112" s="9"/>
      <c r="K112" s="9"/>
      <c r="L112" s="9"/>
      <c r="M112" s="9"/>
      <c r="N112" s="9"/>
      <c r="O112" s="9" t="s">
        <v>1244</v>
      </c>
    </row>
    <row r="113" spans="1:15" ht="25.5" x14ac:dyDescent="0.25">
      <c r="A113" s="9">
        <v>111</v>
      </c>
      <c r="B113" s="9" t="s">
        <v>571</v>
      </c>
      <c r="C113" s="9" t="s">
        <v>572</v>
      </c>
      <c r="D113" s="9" t="s">
        <v>41</v>
      </c>
      <c r="E113" s="9" t="s">
        <v>287</v>
      </c>
      <c r="F113" s="18">
        <v>49059</v>
      </c>
      <c r="G113" s="18">
        <v>47269</v>
      </c>
      <c r="H113" s="9">
        <f t="shared" ca="1" si="1"/>
        <v>2786</v>
      </c>
      <c r="I113" s="9" t="s">
        <v>1026</v>
      </c>
      <c r="J113" s="9"/>
      <c r="K113" s="9"/>
      <c r="L113" s="9"/>
      <c r="M113" s="9"/>
      <c r="N113" s="9"/>
      <c r="O113" s="9" t="s">
        <v>1244</v>
      </c>
    </row>
    <row r="114" spans="1:15" ht="25.5" x14ac:dyDescent="0.25">
      <c r="A114" s="9">
        <v>112</v>
      </c>
      <c r="B114" s="9" t="s">
        <v>574</v>
      </c>
      <c r="C114" s="9" t="s">
        <v>575</v>
      </c>
      <c r="D114" s="9" t="s">
        <v>41</v>
      </c>
      <c r="E114" s="9" t="s">
        <v>287</v>
      </c>
      <c r="F114" s="18">
        <v>49059</v>
      </c>
      <c r="G114" s="18">
        <v>47269</v>
      </c>
      <c r="H114" s="9">
        <f t="shared" ca="1" si="1"/>
        <v>2786</v>
      </c>
      <c r="I114" s="9" t="s">
        <v>1026</v>
      </c>
      <c r="J114" s="9"/>
      <c r="K114" s="9"/>
      <c r="L114" s="9"/>
      <c r="M114" s="9"/>
      <c r="N114" s="9"/>
      <c r="O114" s="9" t="s">
        <v>1244</v>
      </c>
    </row>
    <row r="115" spans="1:15" ht="25.5" x14ac:dyDescent="0.25">
      <c r="A115" s="9">
        <v>113</v>
      </c>
      <c r="B115" s="9" t="s">
        <v>577</v>
      </c>
      <c r="C115" s="9" t="s">
        <v>575</v>
      </c>
      <c r="D115" s="9" t="s">
        <v>41</v>
      </c>
      <c r="E115" s="9" t="s">
        <v>287</v>
      </c>
      <c r="F115" s="18">
        <v>49059</v>
      </c>
      <c r="G115" s="18">
        <v>47269</v>
      </c>
      <c r="H115" s="9">
        <f t="shared" ca="1" si="1"/>
        <v>2786</v>
      </c>
      <c r="I115" s="9" t="s">
        <v>1026</v>
      </c>
      <c r="J115" s="9"/>
      <c r="K115" s="9"/>
      <c r="L115" s="9"/>
      <c r="M115" s="9"/>
      <c r="N115" s="9"/>
      <c r="O115" s="9" t="s">
        <v>1244</v>
      </c>
    </row>
    <row r="116" spans="1:15" x14ac:dyDescent="0.25">
      <c r="A116" s="9">
        <v>114</v>
      </c>
      <c r="B116" s="9" t="s">
        <v>579</v>
      </c>
      <c r="C116" s="9" t="s">
        <v>580</v>
      </c>
      <c r="D116" s="9" t="s">
        <v>41</v>
      </c>
      <c r="E116" s="9" t="s">
        <v>287</v>
      </c>
      <c r="F116" s="18">
        <v>49059</v>
      </c>
      <c r="G116" s="18">
        <v>47269</v>
      </c>
      <c r="H116" s="9">
        <f t="shared" ca="1" si="1"/>
        <v>2786</v>
      </c>
      <c r="I116" s="9" t="s">
        <v>1026</v>
      </c>
      <c r="J116" s="9"/>
      <c r="K116" s="9"/>
      <c r="L116" s="9"/>
      <c r="M116" s="9"/>
      <c r="N116" s="9"/>
      <c r="O116" s="9" t="s">
        <v>1244</v>
      </c>
    </row>
    <row r="117" spans="1:15" x14ac:dyDescent="0.25">
      <c r="A117" s="9">
        <v>115</v>
      </c>
      <c r="B117" s="9" t="s">
        <v>582</v>
      </c>
      <c r="C117" s="9" t="s">
        <v>580</v>
      </c>
      <c r="D117" s="9" t="s">
        <v>41</v>
      </c>
      <c r="E117" s="9" t="s">
        <v>287</v>
      </c>
      <c r="F117" s="18">
        <v>49059</v>
      </c>
      <c r="G117" s="18">
        <v>47269</v>
      </c>
      <c r="H117" s="9">
        <f t="shared" ca="1" si="1"/>
        <v>2786</v>
      </c>
      <c r="I117" s="9" t="s">
        <v>1026</v>
      </c>
      <c r="J117" s="9"/>
      <c r="K117" s="9"/>
      <c r="L117" s="9"/>
      <c r="M117" s="9"/>
      <c r="N117" s="9"/>
      <c r="O117" s="9" t="s">
        <v>1244</v>
      </c>
    </row>
    <row r="118" spans="1:15" x14ac:dyDescent="0.25">
      <c r="A118" s="9">
        <v>116</v>
      </c>
      <c r="B118" s="9" t="s">
        <v>584</v>
      </c>
      <c r="C118" s="9" t="s">
        <v>585</v>
      </c>
      <c r="D118" s="9" t="s">
        <v>41</v>
      </c>
      <c r="E118" s="9" t="s">
        <v>287</v>
      </c>
      <c r="F118" s="18">
        <v>49059</v>
      </c>
      <c r="G118" s="18">
        <v>47269</v>
      </c>
      <c r="H118" s="9">
        <f t="shared" ca="1" si="1"/>
        <v>2786</v>
      </c>
      <c r="I118" s="9" t="s">
        <v>1026</v>
      </c>
      <c r="J118" s="9"/>
      <c r="K118" s="9"/>
      <c r="L118" s="9"/>
      <c r="M118" s="9"/>
      <c r="N118" s="9"/>
      <c r="O118" s="9" t="s">
        <v>1244</v>
      </c>
    </row>
    <row r="119" spans="1:15" ht="25.5" x14ac:dyDescent="0.25">
      <c r="A119" s="9">
        <v>117</v>
      </c>
      <c r="B119" s="9" t="s">
        <v>587</v>
      </c>
      <c r="C119" s="9" t="s">
        <v>585</v>
      </c>
      <c r="D119" s="9" t="s">
        <v>41</v>
      </c>
      <c r="E119" s="9" t="s">
        <v>287</v>
      </c>
      <c r="F119" s="18">
        <v>49059</v>
      </c>
      <c r="G119" s="18">
        <v>47269</v>
      </c>
      <c r="H119" s="9">
        <f t="shared" ca="1" si="1"/>
        <v>2786</v>
      </c>
      <c r="I119" s="9" t="s">
        <v>1026</v>
      </c>
      <c r="J119" s="9"/>
      <c r="K119" s="9"/>
      <c r="L119" s="9"/>
      <c r="M119" s="9"/>
      <c r="N119" s="9"/>
      <c r="O119" s="9" t="s">
        <v>1244</v>
      </c>
    </row>
    <row r="120" spans="1:15" ht="25.5" x14ac:dyDescent="0.25">
      <c r="A120" s="9">
        <v>118</v>
      </c>
      <c r="B120" s="9" t="s">
        <v>589</v>
      </c>
      <c r="C120" s="9" t="s">
        <v>590</v>
      </c>
      <c r="D120" s="9" t="s">
        <v>41</v>
      </c>
      <c r="E120" s="9" t="s">
        <v>287</v>
      </c>
      <c r="F120" s="18">
        <v>49059</v>
      </c>
      <c r="G120" s="18">
        <v>47269</v>
      </c>
      <c r="H120" s="9">
        <f t="shared" ca="1" si="1"/>
        <v>2786</v>
      </c>
      <c r="I120" s="9" t="s">
        <v>1026</v>
      </c>
      <c r="J120" s="9"/>
      <c r="K120" s="9"/>
      <c r="L120" s="9"/>
      <c r="M120" s="9"/>
      <c r="N120" s="9"/>
      <c r="O120" s="9" t="s">
        <v>1244</v>
      </c>
    </row>
    <row r="121" spans="1:15" ht="25.5" x14ac:dyDescent="0.25">
      <c r="A121" s="9">
        <v>119</v>
      </c>
      <c r="B121" s="9" t="s">
        <v>592</v>
      </c>
      <c r="C121" s="9" t="s">
        <v>590</v>
      </c>
      <c r="D121" s="9" t="s">
        <v>41</v>
      </c>
      <c r="E121" s="9" t="s">
        <v>287</v>
      </c>
      <c r="F121" s="18">
        <v>49059</v>
      </c>
      <c r="G121" s="18">
        <v>47269</v>
      </c>
      <c r="H121" s="9">
        <f t="shared" ca="1" si="1"/>
        <v>2786</v>
      </c>
      <c r="I121" s="9" t="s">
        <v>1026</v>
      </c>
      <c r="J121" s="9"/>
      <c r="K121" s="9"/>
      <c r="L121" s="9"/>
      <c r="M121" s="9"/>
      <c r="N121" s="9"/>
      <c r="O121" s="9" t="s">
        <v>1244</v>
      </c>
    </row>
    <row r="122" spans="1:15" ht="25.5" x14ac:dyDescent="0.25">
      <c r="A122" s="9">
        <v>120</v>
      </c>
      <c r="B122" s="9" t="s">
        <v>594</v>
      </c>
      <c r="C122" s="9" t="s">
        <v>595</v>
      </c>
      <c r="D122" s="9" t="s">
        <v>41</v>
      </c>
      <c r="E122" s="9" t="s">
        <v>287</v>
      </c>
      <c r="F122" s="18">
        <v>49059</v>
      </c>
      <c r="G122" s="18">
        <v>47269</v>
      </c>
      <c r="H122" s="9">
        <f t="shared" ca="1" si="1"/>
        <v>2786</v>
      </c>
      <c r="I122" s="9" t="s">
        <v>1026</v>
      </c>
      <c r="J122" s="9"/>
      <c r="K122" s="9"/>
      <c r="L122" s="9"/>
      <c r="M122" s="9"/>
      <c r="N122" s="9"/>
      <c r="O122" s="9" t="s">
        <v>1244</v>
      </c>
    </row>
    <row r="123" spans="1:15" ht="25.5" x14ac:dyDescent="0.25">
      <c r="A123" s="9">
        <v>121</v>
      </c>
      <c r="B123" s="9" t="s">
        <v>597</v>
      </c>
      <c r="C123" s="9" t="s">
        <v>595</v>
      </c>
      <c r="D123" s="9" t="s">
        <v>41</v>
      </c>
      <c r="E123" s="9" t="s">
        <v>287</v>
      </c>
      <c r="F123" s="18">
        <v>49059</v>
      </c>
      <c r="G123" s="18">
        <v>47269</v>
      </c>
      <c r="H123" s="9">
        <f t="shared" ca="1" si="1"/>
        <v>2786</v>
      </c>
      <c r="I123" s="9" t="s">
        <v>1026</v>
      </c>
      <c r="J123" s="9"/>
      <c r="K123" s="9"/>
      <c r="L123" s="9"/>
      <c r="M123" s="9"/>
      <c r="N123" s="9"/>
      <c r="O123" s="9" t="s">
        <v>1244</v>
      </c>
    </row>
    <row r="124" spans="1:15" ht="38.25" x14ac:dyDescent="0.25">
      <c r="A124" s="9">
        <v>122</v>
      </c>
      <c r="B124" s="9" t="s">
        <v>599</v>
      </c>
      <c r="C124" s="9" t="s">
        <v>600</v>
      </c>
      <c r="D124" s="9" t="s">
        <v>41</v>
      </c>
      <c r="E124" s="9" t="s">
        <v>287</v>
      </c>
      <c r="F124" s="18">
        <v>49059</v>
      </c>
      <c r="G124" s="18">
        <v>47269</v>
      </c>
      <c r="H124" s="9">
        <f t="shared" ca="1" si="1"/>
        <v>2786</v>
      </c>
      <c r="I124" s="9" t="s">
        <v>1026</v>
      </c>
      <c r="J124" s="9"/>
      <c r="K124" s="9"/>
      <c r="L124" s="9"/>
      <c r="M124" s="9"/>
      <c r="N124" s="9"/>
      <c r="O124" s="9" t="s">
        <v>1244</v>
      </c>
    </row>
    <row r="125" spans="1:15" ht="38.25" x14ac:dyDescent="0.25">
      <c r="A125" s="9">
        <v>123</v>
      </c>
      <c r="B125" s="9" t="s">
        <v>602</v>
      </c>
      <c r="C125" s="9" t="s">
        <v>600</v>
      </c>
      <c r="D125" s="9" t="s">
        <v>41</v>
      </c>
      <c r="E125" s="9" t="s">
        <v>287</v>
      </c>
      <c r="F125" s="18">
        <v>49059</v>
      </c>
      <c r="G125" s="18">
        <v>47269</v>
      </c>
      <c r="H125" s="9">
        <f t="shared" ca="1" si="1"/>
        <v>2786</v>
      </c>
      <c r="I125" s="9" t="s">
        <v>1026</v>
      </c>
      <c r="J125" s="9"/>
      <c r="K125" s="9"/>
      <c r="L125" s="9"/>
      <c r="M125" s="9"/>
      <c r="N125" s="9"/>
      <c r="O125" s="9" t="s">
        <v>1244</v>
      </c>
    </row>
    <row r="126" spans="1:15" ht="25.5" x14ac:dyDescent="0.25">
      <c r="A126" s="9">
        <v>124</v>
      </c>
      <c r="B126" s="9" t="s">
        <v>604</v>
      </c>
      <c r="C126" s="9" t="s">
        <v>605</v>
      </c>
      <c r="D126" s="9" t="s">
        <v>41</v>
      </c>
      <c r="E126" s="9" t="s">
        <v>287</v>
      </c>
      <c r="F126" s="18">
        <v>49059</v>
      </c>
      <c r="G126" s="18">
        <v>47269</v>
      </c>
      <c r="H126" s="9">
        <f t="shared" ca="1" si="1"/>
        <v>2786</v>
      </c>
      <c r="I126" s="9" t="s">
        <v>1026</v>
      </c>
      <c r="J126" s="9"/>
      <c r="K126" s="9"/>
      <c r="L126" s="9"/>
      <c r="M126" s="9"/>
      <c r="N126" s="9"/>
      <c r="O126" s="9" t="s">
        <v>1244</v>
      </c>
    </row>
    <row r="127" spans="1:15" ht="25.5" x14ac:dyDescent="0.25">
      <c r="A127" s="9">
        <v>125</v>
      </c>
      <c r="B127" s="9" t="s">
        <v>607</v>
      </c>
      <c r="C127" s="9" t="s">
        <v>605</v>
      </c>
      <c r="D127" s="9" t="s">
        <v>41</v>
      </c>
      <c r="E127" s="9" t="s">
        <v>287</v>
      </c>
      <c r="F127" s="18">
        <v>49059</v>
      </c>
      <c r="G127" s="18">
        <v>47269</v>
      </c>
      <c r="H127" s="9">
        <f t="shared" ca="1" si="1"/>
        <v>2786</v>
      </c>
      <c r="I127" s="9" t="s">
        <v>1026</v>
      </c>
      <c r="J127" s="9"/>
      <c r="K127" s="9"/>
      <c r="L127" s="9"/>
      <c r="M127" s="9"/>
      <c r="N127" s="9"/>
      <c r="O127" s="9" t="s">
        <v>1244</v>
      </c>
    </row>
    <row r="128" spans="1:15" ht="38.25" x14ac:dyDescent="0.25">
      <c r="A128" s="9">
        <v>126</v>
      </c>
      <c r="B128" s="9" t="s">
        <v>609</v>
      </c>
      <c r="C128" s="9" t="s">
        <v>610</v>
      </c>
      <c r="D128" s="9" t="s">
        <v>41</v>
      </c>
      <c r="E128" s="9" t="s">
        <v>287</v>
      </c>
      <c r="F128" s="18">
        <v>49059</v>
      </c>
      <c r="G128" s="18">
        <v>47269</v>
      </c>
      <c r="H128" s="9">
        <f t="shared" ca="1" si="1"/>
        <v>2786</v>
      </c>
      <c r="I128" s="9" t="s">
        <v>1026</v>
      </c>
      <c r="J128" s="9"/>
      <c r="K128" s="9"/>
      <c r="L128" s="9"/>
      <c r="M128" s="9"/>
      <c r="N128" s="9"/>
      <c r="O128" s="9" t="s">
        <v>1244</v>
      </c>
    </row>
    <row r="129" spans="1:15" ht="25.5" x14ac:dyDescent="0.25">
      <c r="A129" s="9">
        <v>127</v>
      </c>
      <c r="B129" s="9" t="s">
        <v>612</v>
      </c>
      <c r="C129" s="9" t="s">
        <v>613</v>
      </c>
      <c r="D129" s="9" t="s">
        <v>41</v>
      </c>
      <c r="E129" s="9" t="s">
        <v>287</v>
      </c>
      <c r="F129" s="18">
        <v>49059</v>
      </c>
      <c r="G129" s="18">
        <v>47269</v>
      </c>
      <c r="H129" s="9">
        <f t="shared" ca="1" si="1"/>
        <v>2786</v>
      </c>
      <c r="I129" s="9" t="s">
        <v>1026</v>
      </c>
      <c r="J129" s="9"/>
      <c r="K129" s="9"/>
      <c r="L129" s="9"/>
      <c r="M129" s="9"/>
      <c r="N129" s="9"/>
      <c r="O129" s="9" t="s">
        <v>1244</v>
      </c>
    </row>
    <row r="130" spans="1:15" ht="25.5" x14ac:dyDescent="0.25">
      <c r="A130" s="9">
        <v>128</v>
      </c>
      <c r="B130" s="9" t="s">
        <v>615</v>
      </c>
      <c r="C130" s="9" t="s">
        <v>613</v>
      </c>
      <c r="D130" s="9" t="s">
        <v>41</v>
      </c>
      <c r="E130" s="9" t="s">
        <v>287</v>
      </c>
      <c r="F130" s="18">
        <v>49059</v>
      </c>
      <c r="G130" s="18">
        <v>47269</v>
      </c>
      <c r="H130" s="9">
        <f t="shared" ca="1" si="1"/>
        <v>2786</v>
      </c>
      <c r="I130" s="9" t="s">
        <v>1026</v>
      </c>
      <c r="J130" s="9"/>
      <c r="K130" s="9"/>
      <c r="L130" s="9"/>
      <c r="M130" s="9"/>
      <c r="N130" s="9"/>
      <c r="O130" s="9" t="s">
        <v>1244</v>
      </c>
    </row>
    <row r="131" spans="1:15" ht="25.5" x14ac:dyDescent="0.25">
      <c r="A131" s="9">
        <v>129</v>
      </c>
      <c r="B131" s="9" t="s">
        <v>617</v>
      </c>
      <c r="C131" s="9" t="s">
        <v>613</v>
      </c>
      <c r="D131" s="9" t="s">
        <v>41</v>
      </c>
      <c r="E131" s="9" t="s">
        <v>287</v>
      </c>
      <c r="F131" s="18">
        <v>49059</v>
      </c>
      <c r="G131" s="18">
        <v>47269</v>
      </c>
      <c r="H131" s="9">
        <f t="shared" ref="H131:H194" ca="1" si="2">IF(F131="","",F131-TODAY())</f>
        <v>2786</v>
      </c>
      <c r="I131" s="9" t="s">
        <v>1026</v>
      </c>
      <c r="J131" s="9"/>
      <c r="K131" s="9"/>
      <c r="L131" s="9"/>
      <c r="M131" s="9"/>
      <c r="N131" s="9"/>
      <c r="O131" s="9" t="s">
        <v>1244</v>
      </c>
    </row>
    <row r="132" spans="1:15" x14ac:dyDescent="0.25">
      <c r="A132" s="9">
        <v>130</v>
      </c>
      <c r="B132" s="9" t="s">
        <v>619</v>
      </c>
      <c r="C132" s="9" t="s">
        <v>620</v>
      </c>
      <c r="D132" s="9" t="s">
        <v>41</v>
      </c>
      <c r="E132" s="9" t="s">
        <v>287</v>
      </c>
      <c r="F132" s="18">
        <v>49059</v>
      </c>
      <c r="G132" s="18">
        <v>47269</v>
      </c>
      <c r="H132" s="9">
        <f t="shared" ca="1" si="2"/>
        <v>2786</v>
      </c>
      <c r="I132" s="9" t="s">
        <v>1026</v>
      </c>
      <c r="J132" s="9"/>
      <c r="K132" s="9"/>
      <c r="L132" s="9"/>
      <c r="M132" s="9"/>
      <c r="N132" s="9"/>
      <c r="O132" s="9" t="s">
        <v>1244</v>
      </c>
    </row>
    <row r="133" spans="1:15" ht="25.5" x14ac:dyDescent="0.25">
      <c r="A133" s="9">
        <v>131</v>
      </c>
      <c r="B133" s="9" t="s">
        <v>622</v>
      </c>
      <c r="C133" s="9" t="s">
        <v>623</v>
      </c>
      <c r="D133" s="9" t="s">
        <v>41</v>
      </c>
      <c r="E133" s="9" t="s">
        <v>287</v>
      </c>
      <c r="F133" s="18">
        <v>49059</v>
      </c>
      <c r="G133" s="18">
        <v>47269</v>
      </c>
      <c r="H133" s="9">
        <f t="shared" ca="1" si="2"/>
        <v>2786</v>
      </c>
      <c r="I133" s="9" t="s">
        <v>1026</v>
      </c>
      <c r="J133" s="9"/>
      <c r="K133" s="9"/>
      <c r="L133" s="9"/>
      <c r="M133" s="9"/>
      <c r="N133" s="9"/>
      <c r="O133" s="9" t="s">
        <v>1244</v>
      </c>
    </row>
    <row r="134" spans="1:15" x14ac:dyDescent="0.25">
      <c r="A134" s="9">
        <v>132</v>
      </c>
      <c r="B134" s="9" t="s">
        <v>626</v>
      </c>
      <c r="C134" s="9" t="s">
        <v>627</v>
      </c>
      <c r="D134" s="9" t="s">
        <v>41</v>
      </c>
      <c r="E134" s="9" t="s">
        <v>287</v>
      </c>
      <c r="F134" s="18">
        <v>49059</v>
      </c>
      <c r="G134" s="18">
        <v>47269</v>
      </c>
      <c r="H134" s="9">
        <f t="shared" ca="1" si="2"/>
        <v>2786</v>
      </c>
      <c r="I134" s="9" t="s">
        <v>1026</v>
      </c>
      <c r="J134" s="9"/>
      <c r="K134" s="9"/>
      <c r="L134" s="9"/>
      <c r="M134" s="9"/>
      <c r="N134" s="9"/>
      <c r="O134" s="9" t="s">
        <v>1244</v>
      </c>
    </row>
    <row r="135" spans="1:15" ht="25.5" x14ac:dyDescent="0.25">
      <c r="A135" s="9">
        <v>133</v>
      </c>
      <c r="B135" s="9" t="s">
        <v>629</v>
      </c>
      <c r="C135" s="9" t="s">
        <v>630</v>
      </c>
      <c r="D135" s="9" t="s">
        <v>41</v>
      </c>
      <c r="E135" s="9" t="s">
        <v>287</v>
      </c>
      <c r="F135" s="18">
        <v>49059</v>
      </c>
      <c r="G135" s="18">
        <v>47269</v>
      </c>
      <c r="H135" s="9">
        <f t="shared" ca="1" si="2"/>
        <v>2786</v>
      </c>
      <c r="I135" s="9" t="s">
        <v>1026</v>
      </c>
      <c r="J135" s="9"/>
      <c r="K135" s="9"/>
      <c r="L135" s="9"/>
      <c r="M135" s="9"/>
      <c r="N135" s="9"/>
      <c r="O135" s="9" t="s">
        <v>1244</v>
      </c>
    </row>
    <row r="136" spans="1:15" ht="25.5" x14ac:dyDescent="0.25">
      <c r="A136" s="9">
        <v>134</v>
      </c>
      <c r="B136" s="9" t="s">
        <v>632</v>
      </c>
      <c r="C136" s="9" t="s">
        <v>633</v>
      </c>
      <c r="D136" s="9" t="s">
        <v>41</v>
      </c>
      <c r="E136" s="9" t="s">
        <v>287</v>
      </c>
      <c r="F136" s="18">
        <v>49059</v>
      </c>
      <c r="G136" s="18">
        <v>47269</v>
      </c>
      <c r="H136" s="9">
        <f t="shared" ca="1" si="2"/>
        <v>2786</v>
      </c>
      <c r="I136" s="9" t="s">
        <v>1026</v>
      </c>
      <c r="J136" s="9"/>
      <c r="K136" s="9"/>
      <c r="L136" s="9"/>
      <c r="M136" s="9"/>
      <c r="N136" s="9"/>
      <c r="O136" s="9" t="s">
        <v>1244</v>
      </c>
    </row>
    <row r="137" spans="1:15" x14ac:dyDescent="0.25">
      <c r="A137" s="9">
        <v>135</v>
      </c>
      <c r="B137" s="9" t="s">
        <v>635</v>
      </c>
      <c r="C137" s="9" t="s">
        <v>636</v>
      </c>
      <c r="D137" s="9" t="s">
        <v>41</v>
      </c>
      <c r="E137" s="9" t="s">
        <v>287</v>
      </c>
      <c r="F137" s="18">
        <v>49059</v>
      </c>
      <c r="G137" s="18">
        <v>47269</v>
      </c>
      <c r="H137" s="9">
        <f t="shared" ca="1" si="2"/>
        <v>2786</v>
      </c>
      <c r="I137" s="9" t="s">
        <v>1026</v>
      </c>
      <c r="J137" s="9"/>
      <c r="K137" s="9"/>
      <c r="L137" s="9"/>
      <c r="M137" s="9"/>
      <c r="N137" s="9"/>
      <c r="O137" s="9" t="s">
        <v>1244</v>
      </c>
    </row>
    <row r="138" spans="1:15" ht="25.5" x14ac:dyDescent="0.25">
      <c r="A138" s="9">
        <v>136</v>
      </c>
      <c r="B138" s="9" t="s">
        <v>638</v>
      </c>
      <c r="C138" s="9" t="s">
        <v>639</v>
      </c>
      <c r="D138" s="9" t="s">
        <v>41</v>
      </c>
      <c r="E138" s="9" t="s">
        <v>287</v>
      </c>
      <c r="F138" s="18">
        <v>49059</v>
      </c>
      <c r="G138" s="18">
        <v>47269</v>
      </c>
      <c r="H138" s="9">
        <f t="shared" ca="1" si="2"/>
        <v>2786</v>
      </c>
      <c r="I138" s="9" t="s">
        <v>1026</v>
      </c>
      <c r="J138" s="9"/>
      <c r="K138" s="9"/>
      <c r="L138" s="9"/>
      <c r="M138" s="9"/>
      <c r="N138" s="9"/>
      <c r="O138" s="9" t="s">
        <v>1244</v>
      </c>
    </row>
    <row r="139" spans="1:15" ht="25.5" x14ac:dyDescent="0.25">
      <c r="A139" s="9">
        <v>137</v>
      </c>
      <c r="B139" s="9" t="s">
        <v>641</v>
      </c>
      <c r="C139" s="9" t="s">
        <v>642</v>
      </c>
      <c r="D139" s="9" t="s">
        <v>41</v>
      </c>
      <c r="E139" s="9" t="s">
        <v>287</v>
      </c>
      <c r="F139" s="18">
        <v>49059</v>
      </c>
      <c r="G139" s="18">
        <v>47269</v>
      </c>
      <c r="H139" s="9">
        <f t="shared" ca="1" si="2"/>
        <v>2786</v>
      </c>
      <c r="I139" s="9" t="s">
        <v>1026</v>
      </c>
      <c r="J139" s="9"/>
      <c r="K139" s="9"/>
      <c r="L139" s="9"/>
      <c r="M139" s="9"/>
      <c r="N139" s="9"/>
      <c r="O139" s="9" t="s">
        <v>1244</v>
      </c>
    </row>
    <row r="140" spans="1:15" ht="25.5" x14ac:dyDescent="0.25">
      <c r="A140" s="9">
        <v>138</v>
      </c>
      <c r="B140" s="9" t="s">
        <v>644</v>
      </c>
      <c r="C140" s="9" t="s">
        <v>642</v>
      </c>
      <c r="D140" s="9" t="s">
        <v>41</v>
      </c>
      <c r="E140" s="9" t="s">
        <v>287</v>
      </c>
      <c r="F140" s="18">
        <v>49059</v>
      </c>
      <c r="G140" s="18">
        <v>47269</v>
      </c>
      <c r="H140" s="9">
        <f t="shared" ca="1" si="2"/>
        <v>2786</v>
      </c>
      <c r="I140" s="9" t="s">
        <v>1026</v>
      </c>
      <c r="J140" s="9"/>
      <c r="K140" s="9"/>
      <c r="L140" s="9"/>
      <c r="M140" s="9"/>
      <c r="N140" s="9"/>
      <c r="O140" s="9" t="s">
        <v>1244</v>
      </c>
    </row>
    <row r="141" spans="1:15" ht="25.5" x14ac:dyDescent="0.25">
      <c r="A141" s="9">
        <v>139</v>
      </c>
      <c r="B141" s="9" t="s">
        <v>646</v>
      </c>
      <c r="C141" s="9" t="s">
        <v>642</v>
      </c>
      <c r="D141" s="9" t="s">
        <v>41</v>
      </c>
      <c r="E141" s="9" t="s">
        <v>287</v>
      </c>
      <c r="F141" s="18">
        <v>49059</v>
      </c>
      <c r="G141" s="18">
        <v>47269</v>
      </c>
      <c r="H141" s="9">
        <f t="shared" ca="1" si="2"/>
        <v>2786</v>
      </c>
      <c r="I141" s="9" t="s">
        <v>1026</v>
      </c>
      <c r="J141" s="9"/>
      <c r="K141" s="9"/>
      <c r="L141" s="9"/>
      <c r="M141" s="9"/>
      <c r="N141" s="9"/>
      <c r="O141" s="9" t="s">
        <v>1244</v>
      </c>
    </row>
    <row r="142" spans="1:15" ht="25.5" x14ac:dyDescent="0.25">
      <c r="A142" s="9">
        <v>140</v>
      </c>
      <c r="B142" s="9" t="s">
        <v>648</v>
      </c>
      <c r="C142" s="9" t="s">
        <v>642</v>
      </c>
      <c r="D142" s="9" t="s">
        <v>41</v>
      </c>
      <c r="E142" s="9" t="s">
        <v>287</v>
      </c>
      <c r="F142" s="18">
        <v>49059</v>
      </c>
      <c r="G142" s="18">
        <v>47269</v>
      </c>
      <c r="H142" s="9">
        <f t="shared" ca="1" si="2"/>
        <v>2786</v>
      </c>
      <c r="I142" s="9" t="s">
        <v>1026</v>
      </c>
      <c r="J142" s="9"/>
      <c r="K142" s="9"/>
      <c r="L142" s="9"/>
      <c r="M142" s="9"/>
      <c r="N142" s="9"/>
      <c r="O142" s="9" t="s">
        <v>1244</v>
      </c>
    </row>
    <row r="143" spans="1:15" x14ac:dyDescent="0.25">
      <c r="A143" s="9">
        <v>141</v>
      </c>
      <c r="B143" s="9" t="s">
        <v>650</v>
      </c>
      <c r="C143" s="9" t="s">
        <v>651</v>
      </c>
      <c r="D143" s="9" t="s">
        <v>41</v>
      </c>
      <c r="E143" s="9" t="s">
        <v>287</v>
      </c>
      <c r="F143" s="18">
        <v>49059</v>
      </c>
      <c r="G143" s="18">
        <v>47269</v>
      </c>
      <c r="H143" s="9">
        <f t="shared" ca="1" si="2"/>
        <v>2786</v>
      </c>
      <c r="I143" s="9" t="s">
        <v>1026</v>
      </c>
      <c r="J143" s="9"/>
      <c r="K143" s="9"/>
      <c r="L143" s="9"/>
      <c r="M143" s="9"/>
      <c r="N143" s="9"/>
      <c r="O143" s="9" t="s">
        <v>1244</v>
      </c>
    </row>
    <row r="144" spans="1:15" x14ac:dyDescent="0.25">
      <c r="A144" s="9">
        <v>142</v>
      </c>
      <c r="B144" s="9" t="s">
        <v>653</v>
      </c>
      <c r="C144" s="9" t="s">
        <v>651</v>
      </c>
      <c r="D144" s="9" t="s">
        <v>41</v>
      </c>
      <c r="E144" s="9" t="s">
        <v>287</v>
      </c>
      <c r="F144" s="18">
        <v>49059</v>
      </c>
      <c r="G144" s="18">
        <v>47269</v>
      </c>
      <c r="H144" s="9">
        <f t="shared" ca="1" si="2"/>
        <v>2786</v>
      </c>
      <c r="I144" s="9" t="s">
        <v>1026</v>
      </c>
      <c r="J144" s="9"/>
      <c r="K144" s="9"/>
      <c r="L144" s="9"/>
      <c r="M144" s="9"/>
      <c r="N144" s="9"/>
      <c r="O144" s="9" t="s">
        <v>1244</v>
      </c>
    </row>
    <row r="145" spans="1:15" ht="25.5" x14ac:dyDescent="0.25">
      <c r="A145" s="9">
        <v>143</v>
      </c>
      <c r="B145" s="9" t="s">
        <v>655</v>
      </c>
      <c r="C145" s="9" t="s">
        <v>336</v>
      </c>
      <c r="D145" s="9" t="s">
        <v>41</v>
      </c>
      <c r="E145" s="9" t="s">
        <v>287</v>
      </c>
      <c r="F145" s="18">
        <v>49059</v>
      </c>
      <c r="G145" s="18">
        <v>47269</v>
      </c>
      <c r="H145" s="9">
        <f t="shared" ca="1" si="2"/>
        <v>2786</v>
      </c>
      <c r="I145" s="9" t="s">
        <v>1026</v>
      </c>
      <c r="J145" s="9"/>
      <c r="K145" s="9"/>
      <c r="L145" s="9"/>
      <c r="M145" s="9"/>
      <c r="N145" s="9"/>
      <c r="O145" s="9" t="s">
        <v>1244</v>
      </c>
    </row>
    <row r="146" spans="1:15" ht="25.5" x14ac:dyDescent="0.25">
      <c r="A146" s="9">
        <v>144</v>
      </c>
      <c r="B146" s="9" t="s">
        <v>657</v>
      </c>
      <c r="C146" s="9" t="s">
        <v>373</v>
      </c>
      <c r="D146" s="9" t="s">
        <v>41</v>
      </c>
      <c r="E146" s="9" t="s">
        <v>287</v>
      </c>
      <c r="F146" s="18">
        <v>49059</v>
      </c>
      <c r="G146" s="18">
        <v>47269</v>
      </c>
      <c r="H146" s="9">
        <f t="shared" ca="1" si="2"/>
        <v>2786</v>
      </c>
      <c r="I146" s="9" t="s">
        <v>1026</v>
      </c>
      <c r="J146" s="9"/>
      <c r="K146" s="9"/>
      <c r="L146" s="9"/>
      <c r="M146" s="9"/>
      <c r="N146" s="9"/>
      <c r="O146" s="9" t="s">
        <v>1244</v>
      </c>
    </row>
    <row r="147" spans="1:15" ht="25.5" x14ac:dyDescent="0.25">
      <c r="A147" s="9">
        <v>145</v>
      </c>
      <c r="B147" s="9" t="s">
        <v>659</v>
      </c>
      <c r="C147" s="9" t="s">
        <v>373</v>
      </c>
      <c r="D147" s="9" t="s">
        <v>41</v>
      </c>
      <c r="E147" s="9" t="s">
        <v>287</v>
      </c>
      <c r="F147" s="18">
        <v>49059</v>
      </c>
      <c r="G147" s="18">
        <v>47269</v>
      </c>
      <c r="H147" s="9">
        <f t="shared" ca="1" si="2"/>
        <v>2786</v>
      </c>
      <c r="I147" s="9" t="s">
        <v>1026</v>
      </c>
      <c r="J147" s="9"/>
      <c r="K147" s="9"/>
      <c r="L147" s="9"/>
      <c r="M147" s="9"/>
      <c r="N147" s="9"/>
      <c r="O147" s="9" t="s">
        <v>1244</v>
      </c>
    </row>
    <row r="148" spans="1:15" x14ac:dyDescent="0.25">
      <c r="A148" s="9">
        <v>146</v>
      </c>
      <c r="B148" s="9" t="s">
        <v>661</v>
      </c>
      <c r="C148" s="9" t="s">
        <v>662</v>
      </c>
      <c r="D148" s="9" t="s">
        <v>41</v>
      </c>
      <c r="E148" s="9" t="s">
        <v>287</v>
      </c>
      <c r="F148" s="18">
        <v>49059</v>
      </c>
      <c r="G148" s="18">
        <v>47269</v>
      </c>
      <c r="H148" s="9">
        <f t="shared" ca="1" si="2"/>
        <v>2786</v>
      </c>
      <c r="I148" s="9" t="s">
        <v>1026</v>
      </c>
      <c r="J148" s="9"/>
      <c r="K148" s="9"/>
      <c r="L148" s="9"/>
      <c r="M148" s="9"/>
      <c r="N148" s="9"/>
      <c r="O148" s="9" t="s">
        <v>1244</v>
      </c>
    </row>
    <row r="149" spans="1:15" ht="25.5" x14ac:dyDescent="0.25">
      <c r="A149" s="9">
        <v>147</v>
      </c>
      <c r="B149" s="9" t="s">
        <v>664</v>
      </c>
      <c r="C149" s="9" t="s">
        <v>662</v>
      </c>
      <c r="D149" s="9" t="s">
        <v>41</v>
      </c>
      <c r="E149" s="9" t="s">
        <v>287</v>
      </c>
      <c r="F149" s="18">
        <v>49059</v>
      </c>
      <c r="G149" s="18">
        <v>47269</v>
      </c>
      <c r="H149" s="9">
        <f t="shared" ca="1" si="2"/>
        <v>2786</v>
      </c>
      <c r="I149" s="9" t="s">
        <v>1026</v>
      </c>
      <c r="J149" s="9"/>
      <c r="K149" s="9"/>
      <c r="L149" s="9"/>
      <c r="M149" s="9"/>
      <c r="N149" s="9"/>
      <c r="O149" s="9" t="s">
        <v>1244</v>
      </c>
    </row>
    <row r="150" spans="1:15" ht="25.5" x14ac:dyDescent="0.25">
      <c r="A150" s="9">
        <v>148</v>
      </c>
      <c r="B150" s="9" t="s">
        <v>666</v>
      </c>
      <c r="C150" s="9" t="s">
        <v>373</v>
      </c>
      <c r="D150" s="9" t="s">
        <v>41</v>
      </c>
      <c r="E150" s="9" t="s">
        <v>287</v>
      </c>
      <c r="F150" s="18">
        <v>49059</v>
      </c>
      <c r="G150" s="18">
        <v>47269</v>
      </c>
      <c r="H150" s="9">
        <f t="shared" ca="1" si="2"/>
        <v>2786</v>
      </c>
      <c r="I150" s="9" t="s">
        <v>1026</v>
      </c>
      <c r="J150" s="9"/>
      <c r="K150" s="9"/>
      <c r="L150" s="9"/>
      <c r="M150" s="9"/>
      <c r="N150" s="9"/>
      <c r="O150" s="9" t="s">
        <v>1244</v>
      </c>
    </row>
    <row r="151" spans="1:15" ht="25.5" x14ac:dyDescent="0.25">
      <c r="A151" s="9">
        <v>149</v>
      </c>
      <c r="B151" s="9" t="s">
        <v>668</v>
      </c>
      <c r="C151" s="9" t="s">
        <v>669</v>
      </c>
      <c r="D151" s="9" t="s">
        <v>41</v>
      </c>
      <c r="E151" s="9" t="s">
        <v>287</v>
      </c>
      <c r="F151" s="18">
        <v>49059</v>
      </c>
      <c r="G151" s="18">
        <v>47269</v>
      </c>
      <c r="H151" s="9">
        <f t="shared" ca="1" si="2"/>
        <v>2786</v>
      </c>
      <c r="I151" s="9" t="s">
        <v>1026</v>
      </c>
      <c r="J151" s="9"/>
      <c r="K151" s="9"/>
      <c r="L151" s="9"/>
      <c r="M151" s="9"/>
      <c r="N151" s="9"/>
      <c r="O151" s="9" t="s">
        <v>1244</v>
      </c>
    </row>
    <row r="152" spans="1:15" x14ac:dyDescent="0.25">
      <c r="A152" s="9">
        <v>150</v>
      </c>
      <c r="B152" s="9" t="s">
        <v>671</v>
      </c>
      <c r="C152" s="9" t="s">
        <v>373</v>
      </c>
      <c r="D152" s="9" t="s">
        <v>41</v>
      </c>
      <c r="E152" s="9" t="s">
        <v>287</v>
      </c>
      <c r="F152" s="18">
        <v>49059</v>
      </c>
      <c r="G152" s="18">
        <v>47269</v>
      </c>
      <c r="H152" s="9">
        <f t="shared" ca="1" si="2"/>
        <v>2786</v>
      </c>
      <c r="I152" s="9" t="s">
        <v>1026</v>
      </c>
      <c r="J152" s="9"/>
      <c r="K152" s="9"/>
      <c r="L152" s="9"/>
      <c r="M152" s="9"/>
      <c r="N152" s="9"/>
      <c r="O152" s="9" t="s">
        <v>1244</v>
      </c>
    </row>
    <row r="153" spans="1:15" ht="25.5" x14ac:dyDescent="0.25">
      <c r="A153" s="9">
        <v>151</v>
      </c>
      <c r="B153" s="9" t="s">
        <v>673</v>
      </c>
      <c r="C153" s="9" t="s">
        <v>674</v>
      </c>
      <c r="D153" s="9" t="s">
        <v>41</v>
      </c>
      <c r="E153" s="9" t="s">
        <v>287</v>
      </c>
      <c r="F153" s="18">
        <v>49059</v>
      </c>
      <c r="G153" s="18">
        <v>47269</v>
      </c>
      <c r="H153" s="9">
        <f t="shared" ca="1" si="2"/>
        <v>2786</v>
      </c>
      <c r="I153" s="9" t="s">
        <v>1026</v>
      </c>
      <c r="J153" s="9"/>
      <c r="K153" s="9"/>
      <c r="L153" s="9"/>
      <c r="M153" s="9"/>
      <c r="N153" s="9"/>
      <c r="O153" s="9" t="s">
        <v>1244</v>
      </c>
    </row>
    <row r="154" spans="1:15" ht="25.5" x14ac:dyDescent="0.25">
      <c r="A154" s="9">
        <v>152</v>
      </c>
      <c r="B154" s="9" t="s">
        <v>676</v>
      </c>
      <c r="C154" s="9" t="s">
        <v>677</v>
      </c>
      <c r="D154" s="9" t="s">
        <v>41</v>
      </c>
      <c r="E154" s="9" t="s">
        <v>287</v>
      </c>
      <c r="F154" s="18">
        <v>49059</v>
      </c>
      <c r="G154" s="18">
        <v>47269</v>
      </c>
      <c r="H154" s="9">
        <f t="shared" ca="1" si="2"/>
        <v>2786</v>
      </c>
      <c r="I154" s="9" t="s">
        <v>1026</v>
      </c>
      <c r="J154" s="9"/>
      <c r="K154" s="9"/>
      <c r="L154" s="9"/>
      <c r="M154" s="9"/>
      <c r="N154" s="9"/>
      <c r="O154" s="9" t="s">
        <v>1244</v>
      </c>
    </row>
    <row r="155" spans="1:15" ht="25.5" x14ac:dyDescent="0.25">
      <c r="A155" s="9">
        <v>153</v>
      </c>
      <c r="B155" s="9" t="s">
        <v>679</v>
      </c>
      <c r="C155" s="9" t="s">
        <v>680</v>
      </c>
      <c r="D155" s="9" t="s">
        <v>41</v>
      </c>
      <c r="E155" s="9" t="s">
        <v>287</v>
      </c>
      <c r="F155" s="18">
        <v>49059</v>
      </c>
      <c r="G155" s="18">
        <v>47269</v>
      </c>
      <c r="H155" s="9">
        <f t="shared" ca="1" si="2"/>
        <v>2786</v>
      </c>
      <c r="I155" s="9" t="s">
        <v>1026</v>
      </c>
      <c r="J155" s="9"/>
      <c r="K155" s="9"/>
      <c r="L155" s="9"/>
      <c r="M155" s="9"/>
      <c r="N155" s="9"/>
      <c r="O155" s="9" t="s">
        <v>1244</v>
      </c>
    </row>
    <row r="156" spans="1:15" ht="25.5" x14ac:dyDescent="0.25">
      <c r="A156" s="9">
        <v>154</v>
      </c>
      <c r="B156" s="9" t="s">
        <v>682</v>
      </c>
      <c r="C156" s="9" t="s">
        <v>683</v>
      </c>
      <c r="D156" s="9" t="s">
        <v>41</v>
      </c>
      <c r="E156" s="9" t="s">
        <v>287</v>
      </c>
      <c r="F156" s="18">
        <v>49059</v>
      </c>
      <c r="G156" s="18">
        <v>47269</v>
      </c>
      <c r="H156" s="9">
        <f t="shared" ca="1" si="2"/>
        <v>2786</v>
      </c>
      <c r="I156" s="9" t="s">
        <v>1026</v>
      </c>
      <c r="J156" s="9"/>
      <c r="K156" s="9"/>
      <c r="L156" s="9"/>
      <c r="M156" s="9"/>
      <c r="N156" s="9"/>
      <c r="O156" s="9" t="s">
        <v>1244</v>
      </c>
    </row>
    <row r="157" spans="1:15" ht="25.5" x14ac:dyDescent="0.25">
      <c r="A157" s="9">
        <v>155</v>
      </c>
      <c r="B157" s="9" t="s">
        <v>685</v>
      </c>
      <c r="C157" s="9" t="s">
        <v>683</v>
      </c>
      <c r="D157" s="9" t="s">
        <v>41</v>
      </c>
      <c r="E157" s="9" t="s">
        <v>287</v>
      </c>
      <c r="F157" s="18">
        <v>49059</v>
      </c>
      <c r="G157" s="18">
        <v>47269</v>
      </c>
      <c r="H157" s="9">
        <f t="shared" ca="1" si="2"/>
        <v>2786</v>
      </c>
      <c r="I157" s="9" t="s">
        <v>1026</v>
      </c>
      <c r="J157" s="9"/>
      <c r="K157" s="9"/>
      <c r="L157" s="9"/>
      <c r="M157" s="9"/>
      <c r="N157" s="9"/>
      <c r="O157" s="9" t="s">
        <v>1244</v>
      </c>
    </row>
    <row r="158" spans="1:15" x14ac:dyDescent="0.25">
      <c r="A158" s="9">
        <v>156</v>
      </c>
      <c r="B158" s="9" t="s">
        <v>687</v>
      </c>
      <c r="C158" s="9" t="s">
        <v>688</v>
      </c>
      <c r="D158" s="9" t="s">
        <v>41</v>
      </c>
      <c r="E158" s="9" t="s">
        <v>287</v>
      </c>
      <c r="F158" s="18">
        <v>49059</v>
      </c>
      <c r="G158" s="18">
        <v>47269</v>
      </c>
      <c r="H158" s="9">
        <f t="shared" ca="1" si="2"/>
        <v>2786</v>
      </c>
      <c r="I158" s="9" t="s">
        <v>1026</v>
      </c>
      <c r="J158" s="9"/>
      <c r="K158" s="9"/>
      <c r="L158" s="9"/>
      <c r="M158" s="9"/>
      <c r="N158" s="9"/>
      <c r="O158" s="9" t="s">
        <v>1244</v>
      </c>
    </row>
    <row r="159" spans="1:15" ht="25.5" x14ac:dyDescent="0.25">
      <c r="A159" s="9">
        <v>157</v>
      </c>
      <c r="B159" s="9" t="s">
        <v>690</v>
      </c>
      <c r="C159" s="9" t="s">
        <v>691</v>
      </c>
      <c r="D159" s="9" t="s">
        <v>41</v>
      </c>
      <c r="E159" s="9" t="s">
        <v>287</v>
      </c>
      <c r="F159" s="18">
        <v>49059</v>
      </c>
      <c r="G159" s="18">
        <v>47269</v>
      </c>
      <c r="H159" s="9">
        <f t="shared" ca="1" si="2"/>
        <v>2786</v>
      </c>
      <c r="I159" s="9" t="s">
        <v>1026</v>
      </c>
      <c r="J159" s="9"/>
      <c r="K159" s="9"/>
      <c r="L159" s="9"/>
      <c r="M159" s="9"/>
      <c r="N159" s="9"/>
      <c r="O159" s="9" t="s">
        <v>1244</v>
      </c>
    </row>
    <row r="160" spans="1:15" ht="38.25" x14ac:dyDescent="0.25">
      <c r="A160" s="9">
        <v>158</v>
      </c>
      <c r="B160" s="9" t="s">
        <v>693</v>
      </c>
      <c r="C160" s="9" t="s">
        <v>694</v>
      </c>
      <c r="D160" s="9" t="s">
        <v>41</v>
      </c>
      <c r="E160" s="9" t="s">
        <v>287</v>
      </c>
      <c r="F160" s="18">
        <v>49059</v>
      </c>
      <c r="G160" s="18">
        <v>47269</v>
      </c>
      <c r="H160" s="9">
        <f t="shared" ca="1" si="2"/>
        <v>2786</v>
      </c>
      <c r="I160" s="9" t="s">
        <v>1026</v>
      </c>
      <c r="J160" s="9"/>
      <c r="K160" s="9"/>
      <c r="L160" s="9"/>
      <c r="M160" s="9"/>
      <c r="N160" s="9"/>
      <c r="O160" s="9" t="s">
        <v>1244</v>
      </c>
    </row>
    <row r="161" spans="1:15" ht="25.5" x14ac:dyDescent="0.25">
      <c r="A161" s="9">
        <v>159</v>
      </c>
      <c r="B161" s="9" t="s">
        <v>696</v>
      </c>
      <c r="C161" s="9" t="s">
        <v>697</v>
      </c>
      <c r="D161" s="9" t="s">
        <v>41</v>
      </c>
      <c r="E161" s="9" t="s">
        <v>287</v>
      </c>
      <c r="F161" s="18">
        <v>49059</v>
      </c>
      <c r="G161" s="18">
        <v>47269</v>
      </c>
      <c r="H161" s="9">
        <f t="shared" ca="1" si="2"/>
        <v>2786</v>
      </c>
      <c r="I161" s="9" t="s">
        <v>1026</v>
      </c>
      <c r="J161" s="9"/>
      <c r="K161" s="9"/>
      <c r="L161" s="9"/>
      <c r="M161" s="9"/>
      <c r="N161" s="9"/>
      <c r="O161" s="9" t="s">
        <v>1244</v>
      </c>
    </row>
    <row r="162" spans="1:15" ht="25.5" x14ac:dyDescent="0.25">
      <c r="A162" s="9">
        <v>160</v>
      </c>
      <c r="B162" s="9" t="s">
        <v>699</v>
      </c>
      <c r="C162" s="9" t="s">
        <v>700</v>
      </c>
      <c r="D162" s="9" t="s">
        <v>41</v>
      </c>
      <c r="E162" s="9" t="s">
        <v>287</v>
      </c>
      <c r="F162" s="18">
        <v>49059</v>
      </c>
      <c r="G162" s="18">
        <v>47269</v>
      </c>
      <c r="H162" s="9">
        <f t="shared" ca="1" si="2"/>
        <v>2786</v>
      </c>
      <c r="I162" s="9" t="s">
        <v>1026</v>
      </c>
      <c r="J162" s="9"/>
      <c r="K162" s="9"/>
      <c r="L162" s="9"/>
      <c r="M162" s="9"/>
      <c r="N162" s="9"/>
      <c r="O162" s="9" t="s">
        <v>1244</v>
      </c>
    </row>
    <row r="163" spans="1:15" ht="25.5" x14ac:dyDescent="0.25">
      <c r="A163" s="9">
        <v>161</v>
      </c>
      <c r="B163" s="9" t="s">
        <v>702</v>
      </c>
      <c r="C163" s="9" t="s">
        <v>700</v>
      </c>
      <c r="D163" s="9" t="s">
        <v>41</v>
      </c>
      <c r="E163" s="9" t="s">
        <v>287</v>
      </c>
      <c r="F163" s="18">
        <v>49059</v>
      </c>
      <c r="G163" s="18">
        <v>47269</v>
      </c>
      <c r="H163" s="9">
        <f t="shared" ca="1" si="2"/>
        <v>2786</v>
      </c>
      <c r="I163" s="9" t="s">
        <v>1026</v>
      </c>
      <c r="J163" s="9"/>
      <c r="K163" s="9"/>
      <c r="L163" s="9"/>
      <c r="M163" s="9"/>
      <c r="N163" s="9"/>
      <c r="O163" s="9" t="s">
        <v>1244</v>
      </c>
    </row>
    <row r="164" spans="1:15" ht="25.5" x14ac:dyDescent="0.25">
      <c r="A164" s="9">
        <v>162</v>
      </c>
      <c r="B164" s="9" t="s">
        <v>704</v>
      </c>
      <c r="C164" s="9" t="s">
        <v>705</v>
      </c>
      <c r="D164" s="9" t="s">
        <v>41</v>
      </c>
      <c r="E164" s="9" t="s">
        <v>287</v>
      </c>
      <c r="F164" s="18">
        <v>49059</v>
      </c>
      <c r="G164" s="18">
        <v>47269</v>
      </c>
      <c r="H164" s="9">
        <f t="shared" ca="1" si="2"/>
        <v>2786</v>
      </c>
      <c r="I164" s="9" t="s">
        <v>1026</v>
      </c>
      <c r="J164" s="9"/>
      <c r="K164" s="9"/>
      <c r="L164" s="9"/>
      <c r="M164" s="9"/>
      <c r="N164" s="9"/>
      <c r="O164" s="9" t="s">
        <v>1244</v>
      </c>
    </row>
    <row r="165" spans="1:15" ht="25.5" x14ac:dyDescent="0.25">
      <c r="A165" s="9">
        <v>163</v>
      </c>
      <c r="B165" s="9" t="s">
        <v>708</v>
      </c>
      <c r="C165" s="9" t="s">
        <v>709</v>
      </c>
      <c r="D165" s="9" t="s">
        <v>41</v>
      </c>
      <c r="E165" s="9" t="s">
        <v>287</v>
      </c>
      <c r="F165" s="18">
        <v>49059</v>
      </c>
      <c r="G165" s="18">
        <v>47269</v>
      </c>
      <c r="H165" s="9">
        <f t="shared" ca="1" si="2"/>
        <v>2786</v>
      </c>
      <c r="I165" s="9" t="s">
        <v>1026</v>
      </c>
      <c r="J165" s="9"/>
      <c r="K165" s="9"/>
      <c r="L165" s="9"/>
      <c r="M165" s="9"/>
      <c r="N165" s="9"/>
      <c r="O165" s="9" t="s">
        <v>1244</v>
      </c>
    </row>
    <row r="166" spans="1:15" ht="63.75" x14ac:dyDescent="0.25">
      <c r="A166" s="9">
        <v>164</v>
      </c>
      <c r="B166" s="9" t="s">
        <v>711</v>
      </c>
      <c r="C166" s="9" t="s">
        <v>712</v>
      </c>
      <c r="D166" s="9" t="s">
        <v>41</v>
      </c>
      <c r="E166" s="9" t="s">
        <v>287</v>
      </c>
      <c r="F166" s="18">
        <v>49059</v>
      </c>
      <c r="G166" s="18">
        <v>47269</v>
      </c>
      <c r="H166" s="9">
        <f t="shared" ca="1" si="2"/>
        <v>2786</v>
      </c>
      <c r="I166" s="9" t="s">
        <v>1026</v>
      </c>
      <c r="J166" s="9"/>
      <c r="K166" s="9"/>
      <c r="L166" s="9"/>
      <c r="M166" s="9"/>
      <c r="N166" s="9"/>
      <c r="O166" s="9" t="s">
        <v>1244</v>
      </c>
    </row>
    <row r="167" spans="1:15" ht="25.5" x14ac:dyDescent="0.25">
      <c r="A167" s="9">
        <v>165</v>
      </c>
      <c r="B167" s="9" t="s">
        <v>714</v>
      </c>
      <c r="C167" s="9" t="s">
        <v>715</v>
      </c>
      <c r="D167" s="9" t="s">
        <v>41</v>
      </c>
      <c r="E167" s="9" t="s">
        <v>287</v>
      </c>
      <c r="F167" s="18">
        <v>49059</v>
      </c>
      <c r="G167" s="18">
        <v>47269</v>
      </c>
      <c r="H167" s="9">
        <f t="shared" ca="1" si="2"/>
        <v>2786</v>
      </c>
      <c r="I167" s="9" t="s">
        <v>1026</v>
      </c>
      <c r="J167" s="9"/>
      <c r="K167" s="9"/>
      <c r="L167" s="9"/>
      <c r="M167" s="9"/>
      <c r="N167" s="9"/>
      <c r="O167" s="9" t="s">
        <v>1244</v>
      </c>
    </row>
    <row r="168" spans="1:15" ht="25.5" x14ac:dyDescent="0.25">
      <c r="A168" s="9">
        <v>166</v>
      </c>
      <c r="B168" s="9" t="s">
        <v>717</v>
      </c>
      <c r="C168" s="9" t="s">
        <v>718</v>
      </c>
      <c r="D168" s="9" t="s">
        <v>41</v>
      </c>
      <c r="E168" s="9" t="s">
        <v>287</v>
      </c>
      <c r="F168" s="18">
        <v>49059</v>
      </c>
      <c r="G168" s="18">
        <v>47269</v>
      </c>
      <c r="H168" s="9">
        <f t="shared" ca="1" si="2"/>
        <v>2786</v>
      </c>
      <c r="I168" s="9" t="s">
        <v>1026</v>
      </c>
      <c r="J168" s="9"/>
      <c r="K168" s="9"/>
      <c r="L168" s="9"/>
      <c r="M168" s="9"/>
      <c r="N168" s="9"/>
      <c r="O168" s="9" t="s">
        <v>1244</v>
      </c>
    </row>
    <row r="169" spans="1:15" x14ac:dyDescent="0.25">
      <c r="A169" s="9">
        <v>167</v>
      </c>
      <c r="B169" s="9" t="s">
        <v>720</v>
      </c>
      <c r="C169" s="9" t="s">
        <v>721</v>
      </c>
      <c r="D169" s="9" t="s">
        <v>41</v>
      </c>
      <c r="E169" s="9" t="s">
        <v>287</v>
      </c>
      <c r="F169" s="18">
        <v>49059</v>
      </c>
      <c r="G169" s="18">
        <v>47269</v>
      </c>
      <c r="H169" s="9">
        <f t="shared" ca="1" si="2"/>
        <v>2786</v>
      </c>
      <c r="I169" s="9" t="s">
        <v>1026</v>
      </c>
      <c r="J169" s="9"/>
      <c r="K169" s="9"/>
      <c r="L169" s="9"/>
      <c r="M169" s="9"/>
      <c r="N169" s="9"/>
      <c r="O169" s="9" t="s">
        <v>1244</v>
      </c>
    </row>
    <row r="170" spans="1:15" ht="38.25" x14ac:dyDescent="0.25">
      <c r="A170" s="9">
        <v>168</v>
      </c>
      <c r="B170" s="9" t="s">
        <v>723</v>
      </c>
      <c r="C170" s="9" t="s">
        <v>724</v>
      </c>
      <c r="D170" s="9" t="s">
        <v>41</v>
      </c>
      <c r="E170" s="9" t="s">
        <v>287</v>
      </c>
      <c r="F170" s="18">
        <v>49059</v>
      </c>
      <c r="G170" s="18">
        <v>47269</v>
      </c>
      <c r="H170" s="9">
        <f t="shared" ca="1" si="2"/>
        <v>2786</v>
      </c>
      <c r="I170" s="9" t="s">
        <v>1026</v>
      </c>
      <c r="J170" s="9"/>
      <c r="K170" s="9"/>
      <c r="L170" s="9"/>
      <c r="M170" s="9"/>
      <c r="N170" s="9"/>
      <c r="O170" s="9" t="s">
        <v>1244</v>
      </c>
    </row>
    <row r="171" spans="1:15" ht="25.5" x14ac:dyDescent="0.25">
      <c r="A171" s="9">
        <v>169</v>
      </c>
      <c r="B171" s="9" t="s">
        <v>726</v>
      </c>
      <c r="C171" s="9" t="s">
        <v>727</v>
      </c>
      <c r="D171" s="9" t="s">
        <v>41</v>
      </c>
      <c r="E171" s="9" t="s">
        <v>287</v>
      </c>
      <c r="F171" s="18">
        <v>49059</v>
      </c>
      <c r="G171" s="18">
        <v>47269</v>
      </c>
      <c r="H171" s="9">
        <f t="shared" ca="1" si="2"/>
        <v>2786</v>
      </c>
      <c r="I171" s="9" t="s">
        <v>1026</v>
      </c>
      <c r="J171" s="9"/>
      <c r="K171" s="9"/>
      <c r="L171" s="9"/>
      <c r="M171" s="9"/>
      <c r="N171" s="9"/>
      <c r="O171" s="9" t="s">
        <v>1244</v>
      </c>
    </row>
    <row r="172" spans="1:15" ht="25.5" x14ac:dyDescent="0.25">
      <c r="A172" s="9">
        <v>170</v>
      </c>
      <c r="B172" s="9" t="s">
        <v>730</v>
      </c>
      <c r="C172" s="9" t="s">
        <v>731</v>
      </c>
      <c r="D172" s="9" t="s">
        <v>41</v>
      </c>
      <c r="E172" s="9" t="s">
        <v>287</v>
      </c>
      <c r="F172" s="18">
        <v>49059</v>
      </c>
      <c r="G172" s="18">
        <v>47269</v>
      </c>
      <c r="H172" s="9">
        <f t="shared" ca="1" si="2"/>
        <v>2786</v>
      </c>
      <c r="I172" s="9" t="s">
        <v>1026</v>
      </c>
      <c r="J172" s="9"/>
      <c r="K172" s="9"/>
      <c r="L172" s="9"/>
      <c r="M172" s="9"/>
      <c r="N172" s="9"/>
      <c r="O172" s="9" t="s">
        <v>1244</v>
      </c>
    </row>
    <row r="173" spans="1:15" ht="25.5" x14ac:dyDescent="0.25">
      <c r="A173" s="9">
        <v>171</v>
      </c>
      <c r="B173" s="9" t="s">
        <v>733</v>
      </c>
      <c r="C173" s="9" t="s">
        <v>731</v>
      </c>
      <c r="D173" s="9" t="s">
        <v>41</v>
      </c>
      <c r="E173" s="9" t="s">
        <v>287</v>
      </c>
      <c r="F173" s="18">
        <v>49059</v>
      </c>
      <c r="G173" s="18">
        <v>47269</v>
      </c>
      <c r="H173" s="9">
        <f t="shared" ca="1" si="2"/>
        <v>2786</v>
      </c>
      <c r="I173" s="9" t="s">
        <v>1026</v>
      </c>
      <c r="J173" s="9"/>
      <c r="K173" s="9"/>
      <c r="L173" s="9"/>
      <c r="M173" s="9"/>
      <c r="N173" s="9"/>
      <c r="O173" s="9" t="s">
        <v>1244</v>
      </c>
    </row>
    <row r="174" spans="1:15" ht="25.5" x14ac:dyDescent="0.25">
      <c r="A174" s="9">
        <v>172</v>
      </c>
      <c r="B174" s="9" t="s">
        <v>735</v>
      </c>
      <c r="C174" s="9" t="s">
        <v>736</v>
      </c>
      <c r="D174" s="9" t="s">
        <v>41</v>
      </c>
      <c r="E174" s="9" t="s">
        <v>287</v>
      </c>
      <c r="F174" s="18">
        <v>49059</v>
      </c>
      <c r="G174" s="18">
        <v>47269</v>
      </c>
      <c r="H174" s="9">
        <f t="shared" ca="1" si="2"/>
        <v>2786</v>
      </c>
      <c r="I174" s="9" t="s">
        <v>1026</v>
      </c>
      <c r="J174" s="9"/>
      <c r="K174" s="9"/>
      <c r="L174" s="9"/>
      <c r="M174" s="9"/>
      <c r="N174" s="9"/>
      <c r="O174" s="9" t="s">
        <v>1244</v>
      </c>
    </row>
    <row r="175" spans="1:15" ht="25.5" x14ac:dyDescent="0.25">
      <c r="A175" s="9">
        <v>173</v>
      </c>
      <c r="B175" s="9" t="s">
        <v>738</v>
      </c>
      <c r="C175" s="9" t="s">
        <v>736</v>
      </c>
      <c r="D175" s="9" t="s">
        <v>41</v>
      </c>
      <c r="E175" s="9" t="s">
        <v>287</v>
      </c>
      <c r="F175" s="18">
        <v>49059</v>
      </c>
      <c r="G175" s="18">
        <v>47269</v>
      </c>
      <c r="H175" s="9">
        <f t="shared" ca="1" si="2"/>
        <v>2786</v>
      </c>
      <c r="I175" s="9" t="s">
        <v>1026</v>
      </c>
      <c r="J175" s="9"/>
      <c r="K175" s="9"/>
      <c r="L175" s="9"/>
      <c r="M175" s="9"/>
      <c r="N175" s="9"/>
      <c r="O175" s="9" t="s">
        <v>1244</v>
      </c>
    </row>
    <row r="176" spans="1:15" ht="25.5" x14ac:dyDescent="0.25">
      <c r="A176" s="9">
        <v>174</v>
      </c>
      <c r="B176" s="9" t="s">
        <v>740</v>
      </c>
      <c r="C176" s="9" t="s">
        <v>736</v>
      </c>
      <c r="D176" s="9" t="s">
        <v>41</v>
      </c>
      <c r="E176" s="9" t="s">
        <v>287</v>
      </c>
      <c r="F176" s="18">
        <v>49059</v>
      </c>
      <c r="G176" s="18">
        <v>47269</v>
      </c>
      <c r="H176" s="9">
        <f t="shared" ca="1" si="2"/>
        <v>2786</v>
      </c>
      <c r="I176" s="9" t="s">
        <v>1026</v>
      </c>
      <c r="J176" s="9"/>
      <c r="K176" s="9"/>
      <c r="L176" s="9"/>
      <c r="M176" s="9"/>
      <c r="N176" s="9"/>
      <c r="O176" s="9" t="s">
        <v>1244</v>
      </c>
    </row>
    <row r="177" spans="1:15" ht="25.5" x14ac:dyDescent="0.25">
      <c r="A177" s="9">
        <v>175</v>
      </c>
      <c r="B177" s="9" t="s">
        <v>742</v>
      </c>
      <c r="C177" s="9" t="s">
        <v>736</v>
      </c>
      <c r="D177" s="9" t="s">
        <v>41</v>
      </c>
      <c r="E177" s="9" t="s">
        <v>287</v>
      </c>
      <c r="F177" s="18">
        <v>49059</v>
      </c>
      <c r="G177" s="18">
        <v>47269</v>
      </c>
      <c r="H177" s="9">
        <f t="shared" ca="1" si="2"/>
        <v>2786</v>
      </c>
      <c r="I177" s="9" t="s">
        <v>1026</v>
      </c>
      <c r="J177" s="9"/>
      <c r="K177" s="9"/>
      <c r="L177" s="9"/>
      <c r="M177" s="9"/>
      <c r="N177" s="9"/>
      <c r="O177" s="9" t="s">
        <v>1244</v>
      </c>
    </row>
    <row r="178" spans="1:15" ht="25.5" x14ac:dyDescent="0.25">
      <c r="A178" s="9">
        <v>176</v>
      </c>
      <c r="B178" s="9" t="s">
        <v>744</v>
      </c>
      <c r="C178" s="9" t="s">
        <v>736</v>
      </c>
      <c r="D178" s="9" t="s">
        <v>41</v>
      </c>
      <c r="E178" s="9" t="s">
        <v>287</v>
      </c>
      <c r="F178" s="18">
        <v>49059</v>
      </c>
      <c r="G178" s="18">
        <v>47269</v>
      </c>
      <c r="H178" s="9">
        <f t="shared" ca="1" si="2"/>
        <v>2786</v>
      </c>
      <c r="I178" s="9" t="s">
        <v>1026</v>
      </c>
      <c r="J178" s="9"/>
      <c r="K178" s="9"/>
      <c r="L178" s="9"/>
      <c r="M178" s="9"/>
      <c r="N178" s="9"/>
      <c r="O178" s="9" t="s">
        <v>1244</v>
      </c>
    </row>
    <row r="179" spans="1:15" x14ac:dyDescent="0.25">
      <c r="A179" s="9">
        <v>177</v>
      </c>
      <c r="B179" s="9" t="s">
        <v>746</v>
      </c>
      <c r="C179" s="9" t="s">
        <v>747</v>
      </c>
      <c r="D179" s="9" t="s">
        <v>41</v>
      </c>
      <c r="E179" s="9" t="s">
        <v>287</v>
      </c>
      <c r="F179" s="18">
        <v>49059</v>
      </c>
      <c r="G179" s="18">
        <v>47269</v>
      </c>
      <c r="H179" s="9">
        <f t="shared" ca="1" si="2"/>
        <v>2786</v>
      </c>
      <c r="I179" s="9" t="s">
        <v>1026</v>
      </c>
      <c r="J179" s="9"/>
      <c r="K179" s="9"/>
      <c r="L179" s="9"/>
      <c r="M179" s="9"/>
      <c r="N179" s="9"/>
      <c r="O179" s="9" t="s">
        <v>1244</v>
      </c>
    </row>
    <row r="180" spans="1:15" ht="25.5" x14ac:dyDescent="0.25">
      <c r="A180" s="9">
        <v>178</v>
      </c>
      <c r="B180" s="9" t="s">
        <v>749</v>
      </c>
      <c r="C180" s="9" t="s">
        <v>750</v>
      </c>
      <c r="D180" s="9" t="s">
        <v>41</v>
      </c>
      <c r="E180" s="9" t="s">
        <v>287</v>
      </c>
      <c r="F180" s="18">
        <v>49059</v>
      </c>
      <c r="G180" s="18">
        <v>47269</v>
      </c>
      <c r="H180" s="9">
        <f t="shared" ca="1" si="2"/>
        <v>2786</v>
      </c>
      <c r="I180" s="9" t="s">
        <v>1026</v>
      </c>
      <c r="J180" s="9"/>
      <c r="K180" s="9"/>
      <c r="L180" s="9"/>
      <c r="M180" s="9"/>
      <c r="N180" s="9"/>
      <c r="O180" s="9" t="s">
        <v>1244</v>
      </c>
    </row>
    <row r="181" spans="1:15" ht="25.5" x14ac:dyDescent="0.25">
      <c r="A181" s="9">
        <v>179</v>
      </c>
      <c r="B181" s="9" t="s">
        <v>752</v>
      </c>
      <c r="C181" s="9" t="s">
        <v>750</v>
      </c>
      <c r="D181" s="9" t="s">
        <v>41</v>
      </c>
      <c r="E181" s="9" t="s">
        <v>287</v>
      </c>
      <c r="F181" s="18">
        <v>49059</v>
      </c>
      <c r="G181" s="18">
        <v>47269</v>
      </c>
      <c r="H181" s="9">
        <f t="shared" ca="1" si="2"/>
        <v>2786</v>
      </c>
      <c r="I181" s="9" t="s">
        <v>1026</v>
      </c>
      <c r="J181" s="9"/>
      <c r="K181" s="9"/>
      <c r="L181" s="9"/>
      <c r="M181" s="9"/>
      <c r="N181" s="9"/>
      <c r="O181" s="9" t="s">
        <v>1244</v>
      </c>
    </row>
    <row r="182" spans="1:15" ht="25.5" x14ac:dyDescent="0.25">
      <c r="A182" s="9">
        <v>180</v>
      </c>
      <c r="B182" s="9" t="s">
        <v>754</v>
      </c>
      <c r="C182" s="9" t="s">
        <v>755</v>
      </c>
      <c r="D182" s="9" t="s">
        <v>41</v>
      </c>
      <c r="E182" s="9" t="s">
        <v>287</v>
      </c>
      <c r="F182" s="18">
        <v>49059</v>
      </c>
      <c r="G182" s="18">
        <v>47269</v>
      </c>
      <c r="H182" s="9">
        <f t="shared" ca="1" si="2"/>
        <v>2786</v>
      </c>
      <c r="I182" s="9" t="s">
        <v>1026</v>
      </c>
      <c r="J182" s="9"/>
      <c r="K182" s="9"/>
      <c r="L182" s="9"/>
      <c r="M182" s="9"/>
      <c r="N182" s="9"/>
      <c r="O182" s="9" t="s">
        <v>1244</v>
      </c>
    </row>
    <row r="183" spans="1:15" x14ac:dyDescent="0.25">
      <c r="A183" s="9">
        <v>181</v>
      </c>
      <c r="B183" s="9" t="s">
        <v>757</v>
      </c>
      <c r="C183" s="9" t="s">
        <v>758</v>
      </c>
      <c r="D183" s="9" t="s">
        <v>41</v>
      </c>
      <c r="E183" s="9" t="s">
        <v>287</v>
      </c>
      <c r="F183" s="18">
        <v>49059</v>
      </c>
      <c r="G183" s="18">
        <v>47269</v>
      </c>
      <c r="H183" s="9">
        <f t="shared" ca="1" si="2"/>
        <v>2786</v>
      </c>
      <c r="I183" s="9" t="s">
        <v>1026</v>
      </c>
      <c r="J183" s="9"/>
      <c r="K183" s="9"/>
      <c r="L183" s="9"/>
      <c r="M183" s="9"/>
      <c r="N183" s="9"/>
      <c r="O183" s="9" t="s">
        <v>1244</v>
      </c>
    </row>
    <row r="184" spans="1:15" ht="38.25" x14ac:dyDescent="0.25">
      <c r="A184" s="9">
        <v>182</v>
      </c>
      <c r="B184" s="9" t="s">
        <v>760</v>
      </c>
      <c r="C184" s="9" t="s">
        <v>761</v>
      </c>
      <c r="D184" s="9" t="s">
        <v>41</v>
      </c>
      <c r="E184" s="9" t="s">
        <v>287</v>
      </c>
      <c r="F184" s="18">
        <v>49059</v>
      </c>
      <c r="G184" s="18">
        <v>47269</v>
      </c>
      <c r="H184" s="9">
        <f t="shared" ca="1" si="2"/>
        <v>2786</v>
      </c>
      <c r="I184" s="9" t="s">
        <v>1026</v>
      </c>
      <c r="J184" s="9"/>
      <c r="K184" s="9"/>
      <c r="L184" s="9"/>
      <c r="M184" s="9"/>
      <c r="N184" s="9"/>
      <c r="O184" s="9" t="s">
        <v>1244</v>
      </c>
    </row>
    <row r="185" spans="1:15" ht="38.25" x14ac:dyDescent="0.25">
      <c r="A185" s="9">
        <v>183</v>
      </c>
      <c r="B185" s="9" t="s">
        <v>763</v>
      </c>
      <c r="C185" s="9" t="s">
        <v>761</v>
      </c>
      <c r="D185" s="9" t="s">
        <v>41</v>
      </c>
      <c r="E185" s="9" t="s">
        <v>287</v>
      </c>
      <c r="F185" s="18">
        <v>49059</v>
      </c>
      <c r="G185" s="18">
        <v>47269</v>
      </c>
      <c r="H185" s="9">
        <f t="shared" ca="1" si="2"/>
        <v>2786</v>
      </c>
      <c r="I185" s="9" t="s">
        <v>1026</v>
      </c>
      <c r="J185" s="9"/>
      <c r="K185" s="9"/>
      <c r="L185" s="9"/>
      <c r="M185" s="9"/>
      <c r="N185" s="9"/>
      <c r="O185" s="9" t="s">
        <v>1244</v>
      </c>
    </row>
    <row r="186" spans="1:15" ht="25.5" x14ac:dyDescent="0.25">
      <c r="A186" s="9">
        <v>184</v>
      </c>
      <c r="B186" s="9" t="s">
        <v>765</v>
      </c>
      <c r="C186" s="9" t="s">
        <v>766</v>
      </c>
      <c r="D186" s="9" t="s">
        <v>41</v>
      </c>
      <c r="E186" s="9" t="s">
        <v>287</v>
      </c>
      <c r="F186" s="18">
        <v>49059</v>
      </c>
      <c r="G186" s="18">
        <v>47269</v>
      </c>
      <c r="H186" s="9">
        <f t="shared" ca="1" si="2"/>
        <v>2786</v>
      </c>
      <c r="I186" s="9" t="s">
        <v>1026</v>
      </c>
      <c r="J186" s="9"/>
      <c r="K186" s="9"/>
      <c r="L186" s="9"/>
      <c r="M186" s="9"/>
      <c r="N186" s="9"/>
      <c r="O186" s="9" t="s">
        <v>1244</v>
      </c>
    </row>
    <row r="187" spans="1:15" ht="38.25" x14ac:dyDescent="0.25">
      <c r="A187" s="9">
        <v>185</v>
      </c>
      <c r="B187" s="9" t="s">
        <v>768</v>
      </c>
      <c r="C187" s="9" t="s">
        <v>769</v>
      </c>
      <c r="D187" s="9" t="s">
        <v>41</v>
      </c>
      <c r="E187" s="9" t="s">
        <v>287</v>
      </c>
      <c r="F187" s="18">
        <v>49059</v>
      </c>
      <c r="G187" s="18">
        <v>47269</v>
      </c>
      <c r="H187" s="9">
        <f t="shared" ca="1" si="2"/>
        <v>2786</v>
      </c>
      <c r="I187" s="9" t="s">
        <v>1026</v>
      </c>
      <c r="J187" s="9"/>
      <c r="K187" s="9"/>
      <c r="L187" s="9"/>
      <c r="M187" s="9"/>
      <c r="N187" s="9"/>
      <c r="O187" s="9" t="s">
        <v>1244</v>
      </c>
    </row>
    <row r="188" spans="1:15" ht="38.25" x14ac:dyDescent="0.25">
      <c r="A188" s="9">
        <v>186</v>
      </c>
      <c r="B188" s="9" t="s">
        <v>771</v>
      </c>
      <c r="C188" s="9" t="s">
        <v>772</v>
      </c>
      <c r="D188" s="9" t="s">
        <v>41</v>
      </c>
      <c r="E188" s="9" t="s">
        <v>287</v>
      </c>
      <c r="F188" s="18">
        <v>49059</v>
      </c>
      <c r="G188" s="18">
        <v>47269</v>
      </c>
      <c r="H188" s="9">
        <f t="shared" ca="1" si="2"/>
        <v>2786</v>
      </c>
      <c r="I188" s="9" t="s">
        <v>1026</v>
      </c>
      <c r="J188" s="9"/>
      <c r="K188" s="9"/>
      <c r="L188" s="9"/>
      <c r="M188" s="9"/>
      <c r="N188" s="9"/>
      <c r="O188" s="9" t="s">
        <v>1244</v>
      </c>
    </row>
    <row r="189" spans="1:15" ht="25.5" x14ac:dyDescent="0.25">
      <c r="A189" s="9">
        <v>187</v>
      </c>
      <c r="B189" s="9" t="s">
        <v>774</v>
      </c>
      <c r="C189" s="9" t="s">
        <v>775</v>
      </c>
      <c r="D189" s="9" t="s">
        <v>41</v>
      </c>
      <c r="E189" s="9" t="s">
        <v>287</v>
      </c>
      <c r="F189" s="18">
        <v>49059</v>
      </c>
      <c r="G189" s="18">
        <v>47269</v>
      </c>
      <c r="H189" s="9">
        <f t="shared" ca="1" si="2"/>
        <v>2786</v>
      </c>
      <c r="I189" s="9" t="s">
        <v>1026</v>
      </c>
      <c r="J189" s="9"/>
      <c r="K189" s="9"/>
      <c r="L189" s="9"/>
      <c r="M189" s="9"/>
      <c r="N189" s="9"/>
      <c r="O189" s="9" t="s">
        <v>1244</v>
      </c>
    </row>
    <row r="190" spans="1:15" ht="25.5" x14ac:dyDescent="0.25">
      <c r="A190" s="9">
        <v>188</v>
      </c>
      <c r="B190" s="9" t="s">
        <v>778</v>
      </c>
      <c r="C190" s="9" t="s">
        <v>775</v>
      </c>
      <c r="D190" s="9" t="s">
        <v>41</v>
      </c>
      <c r="E190" s="9" t="s">
        <v>287</v>
      </c>
      <c r="F190" s="18">
        <v>49059</v>
      </c>
      <c r="G190" s="18">
        <v>47269</v>
      </c>
      <c r="H190" s="9">
        <f t="shared" ca="1" si="2"/>
        <v>2786</v>
      </c>
      <c r="I190" s="9" t="s">
        <v>1026</v>
      </c>
      <c r="J190" s="9"/>
      <c r="K190" s="9"/>
      <c r="L190" s="9"/>
      <c r="M190" s="9"/>
      <c r="N190" s="9"/>
      <c r="O190" s="9" t="s">
        <v>1244</v>
      </c>
    </row>
    <row r="191" spans="1:15" ht="25.5" x14ac:dyDescent="0.25">
      <c r="A191" s="9">
        <v>189</v>
      </c>
      <c r="B191" s="9" t="s">
        <v>780</v>
      </c>
      <c r="C191" s="9" t="s">
        <v>781</v>
      </c>
      <c r="D191" s="9" t="s">
        <v>41</v>
      </c>
      <c r="E191" s="9" t="s">
        <v>287</v>
      </c>
      <c r="F191" s="18">
        <v>49059</v>
      </c>
      <c r="G191" s="18">
        <v>47269</v>
      </c>
      <c r="H191" s="9">
        <f t="shared" ca="1" si="2"/>
        <v>2786</v>
      </c>
      <c r="I191" s="9" t="s">
        <v>1026</v>
      </c>
      <c r="J191" s="9"/>
      <c r="K191" s="9"/>
      <c r="L191" s="9"/>
      <c r="M191" s="9"/>
      <c r="N191" s="9"/>
      <c r="O191" s="9" t="s">
        <v>1244</v>
      </c>
    </row>
    <row r="192" spans="1:15" ht="25.5" x14ac:dyDescent="0.25">
      <c r="A192" s="9">
        <v>190</v>
      </c>
      <c r="B192" s="9" t="s">
        <v>783</v>
      </c>
      <c r="C192" s="9" t="s">
        <v>784</v>
      </c>
      <c r="D192" s="9" t="s">
        <v>41</v>
      </c>
      <c r="E192" s="9" t="s">
        <v>287</v>
      </c>
      <c r="F192" s="18">
        <v>49059</v>
      </c>
      <c r="G192" s="18">
        <v>47269</v>
      </c>
      <c r="H192" s="9">
        <f t="shared" ca="1" si="2"/>
        <v>2786</v>
      </c>
      <c r="I192" s="9" t="s">
        <v>1026</v>
      </c>
      <c r="J192" s="9"/>
      <c r="K192" s="9"/>
      <c r="L192" s="9"/>
      <c r="M192" s="9"/>
      <c r="N192" s="9"/>
      <c r="O192" s="9" t="s">
        <v>1244</v>
      </c>
    </row>
    <row r="193" spans="1:15" ht="25.5" x14ac:dyDescent="0.25">
      <c r="A193" s="9">
        <v>191</v>
      </c>
      <c r="B193" s="9" t="s">
        <v>786</v>
      </c>
      <c r="C193" s="9" t="s">
        <v>784</v>
      </c>
      <c r="D193" s="9" t="s">
        <v>41</v>
      </c>
      <c r="E193" s="9" t="s">
        <v>287</v>
      </c>
      <c r="F193" s="18">
        <v>49059</v>
      </c>
      <c r="G193" s="18">
        <v>47269</v>
      </c>
      <c r="H193" s="9">
        <f t="shared" ca="1" si="2"/>
        <v>2786</v>
      </c>
      <c r="I193" s="9" t="s">
        <v>1026</v>
      </c>
      <c r="J193" s="9"/>
      <c r="K193" s="9"/>
      <c r="L193" s="9"/>
      <c r="M193" s="9"/>
      <c r="N193" s="9"/>
      <c r="O193" s="9" t="s">
        <v>1244</v>
      </c>
    </row>
    <row r="194" spans="1:15" ht="25.5" x14ac:dyDescent="0.25">
      <c r="A194" s="9">
        <v>192</v>
      </c>
      <c r="B194" s="9" t="s">
        <v>788</v>
      </c>
      <c r="C194" s="9" t="s">
        <v>784</v>
      </c>
      <c r="D194" s="9" t="s">
        <v>41</v>
      </c>
      <c r="E194" s="9" t="s">
        <v>287</v>
      </c>
      <c r="F194" s="18">
        <v>49059</v>
      </c>
      <c r="G194" s="18">
        <v>47269</v>
      </c>
      <c r="H194" s="9">
        <f t="shared" ca="1" si="2"/>
        <v>2786</v>
      </c>
      <c r="I194" s="9" t="s">
        <v>1026</v>
      </c>
      <c r="J194" s="9"/>
      <c r="K194" s="9"/>
      <c r="L194" s="9"/>
      <c r="M194" s="9"/>
      <c r="N194" s="9"/>
      <c r="O194" s="9" t="s">
        <v>1244</v>
      </c>
    </row>
    <row r="195" spans="1:15" ht="25.5" x14ac:dyDescent="0.25">
      <c r="A195" s="9">
        <v>193</v>
      </c>
      <c r="B195" s="9" t="s">
        <v>790</v>
      </c>
      <c r="C195" s="9" t="s">
        <v>784</v>
      </c>
      <c r="D195" s="9" t="s">
        <v>41</v>
      </c>
      <c r="E195" s="9" t="s">
        <v>287</v>
      </c>
      <c r="F195" s="18">
        <v>49059</v>
      </c>
      <c r="G195" s="18">
        <v>47269</v>
      </c>
      <c r="H195" s="9">
        <f t="shared" ref="H195:H258" ca="1" si="3">IF(F195="","",F195-TODAY())</f>
        <v>2786</v>
      </c>
      <c r="I195" s="9" t="s">
        <v>1026</v>
      </c>
      <c r="J195" s="9"/>
      <c r="K195" s="9"/>
      <c r="L195" s="9"/>
      <c r="M195" s="9"/>
      <c r="N195" s="9"/>
      <c r="O195" s="9" t="s">
        <v>1244</v>
      </c>
    </row>
    <row r="196" spans="1:15" ht="38.25" x14ac:dyDescent="0.25">
      <c r="A196" s="9">
        <v>194</v>
      </c>
      <c r="B196" s="9" t="s">
        <v>792</v>
      </c>
      <c r="C196" s="9" t="s">
        <v>793</v>
      </c>
      <c r="D196" s="9" t="s">
        <v>41</v>
      </c>
      <c r="E196" s="9" t="s">
        <v>287</v>
      </c>
      <c r="F196" s="18">
        <v>49059</v>
      </c>
      <c r="G196" s="18">
        <v>47269</v>
      </c>
      <c r="H196" s="9">
        <f t="shared" ca="1" si="3"/>
        <v>2786</v>
      </c>
      <c r="I196" s="9" t="s">
        <v>1026</v>
      </c>
      <c r="J196" s="9"/>
      <c r="K196" s="9"/>
      <c r="L196" s="9"/>
      <c r="M196" s="9"/>
      <c r="N196" s="9"/>
      <c r="O196" s="9" t="s">
        <v>1244</v>
      </c>
    </row>
    <row r="197" spans="1:15" ht="25.5" x14ac:dyDescent="0.25">
      <c r="A197" s="9">
        <v>195</v>
      </c>
      <c r="B197" s="9" t="s">
        <v>795</v>
      </c>
      <c r="C197" s="9" t="s">
        <v>796</v>
      </c>
      <c r="D197" s="9" t="s">
        <v>41</v>
      </c>
      <c r="E197" s="9" t="s">
        <v>287</v>
      </c>
      <c r="F197" s="18">
        <v>49059</v>
      </c>
      <c r="G197" s="18">
        <v>47269</v>
      </c>
      <c r="H197" s="9">
        <f t="shared" ca="1" si="3"/>
        <v>2786</v>
      </c>
      <c r="I197" s="9" t="s">
        <v>1026</v>
      </c>
      <c r="J197" s="9"/>
      <c r="K197" s="9"/>
      <c r="L197" s="9"/>
      <c r="M197" s="9"/>
      <c r="N197" s="9"/>
      <c r="O197" s="9" t="s">
        <v>1244</v>
      </c>
    </row>
    <row r="198" spans="1:15" ht="25.5" x14ac:dyDescent="0.25">
      <c r="A198" s="9">
        <v>196</v>
      </c>
      <c r="B198" s="9" t="s">
        <v>798</v>
      </c>
      <c r="C198" s="9" t="s">
        <v>799</v>
      </c>
      <c r="D198" s="9" t="s">
        <v>41</v>
      </c>
      <c r="E198" s="9" t="s">
        <v>287</v>
      </c>
      <c r="F198" s="18">
        <v>49059</v>
      </c>
      <c r="G198" s="18">
        <v>47269</v>
      </c>
      <c r="H198" s="9">
        <f t="shared" ca="1" si="3"/>
        <v>2786</v>
      </c>
      <c r="I198" s="9" t="s">
        <v>1026</v>
      </c>
      <c r="J198" s="9"/>
      <c r="K198" s="9"/>
      <c r="L198" s="9"/>
      <c r="M198" s="9"/>
      <c r="N198" s="9"/>
      <c r="O198" s="9" t="s">
        <v>1244</v>
      </c>
    </row>
    <row r="199" spans="1:15" ht="25.5" x14ac:dyDescent="0.25">
      <c r="A199" s="9">
        <v>197</v>
      </c>
      <c r="B199" s="9" t="s">
        <v>801</v>
      </c>
      <c r="C199" s="9" t="s">
        <v>802</v>
      </c>
      <c r="D199" s="9" t="s">
        <v>41</v>
      </c>
      <c r="E199" s="9" t="s">
        <v>287</v>
      </c>
      <c r="F199" s="18">
        <v>49059</v>
      </c>
      <c r="G199" s="18">
        <v>47269</v>
      </c>
      <c r="H199" s="9">
        <f t="shared" ca="1" si="3"/>
        <v>2786</v>
      </c>
      <c r="I199" s="9" t="s">
        <v>1026</v>
      </c>
      <c r="J199" s="9"/>
      <c r="K199" s="9"/>
      <c r="L199" s="9"/>
      <c r="M199" s="9"/>
      <c r="N199" s="9"/>
      <c r="O199" s="9" t="s">
        <v>1244</v>
      </c>
    </row>
    <row r="200" spans="1:15" ht="25.5" x14ac:dyDescent="0.25">
      <c r="A200" s="9">
        <v>198</v>
      </c>
      <c r="B200" s="9" t="s">
        <v>805</v>
      </c>
      <c r="C200" s="9" t="s">
        <v>802</v>
      </c>
      <c r="D200" s="9" t="s">
        <v>41</v>
      </c>
      <c r="E200" s="9" t="s">
        <v>287</v>
      </c>
      <c r="F200" s="18">
        <v>49059</v>
      </c>
      <c r="G200" s="18">
        <v>47269</v>
      </c>
      <c r="H200" s="9">
        <f t="shared" ca="1" si="3"/>
        <v>2786</v>
      </c>
      <c r="I200" s="9" t="s">
        <v>1026</v>
      </c>
      <c r="J200" s="9"/>
      <c r="K200" s="9"/>
      <c r="L200" s="9"/>
      <c r="M200" s="9"/>
      <c r="N200" s="9"/>
      <c r="O200" s="9" t="s">
        <v>1244</v>
      </c>
    </row>
    <row r="201" spans="1:15" ht="25.5" x14ac:dyDescent="0.25">
      <c r="A201" s="9">
        <v>199</v>
      </c>
      <c r="B201" s="9" t="s">
        <v>807</v>
      </c>
      <c r="C201" s="9" t="s">
        <v>808</v>
      </c>
      <c r="D201" s="9" t="s">
        <v>41</v>
      </c>
      <c r="E201" s="9" t="s">
        <v>287</v>
      </c>
      <c r="F201" s="18">
        <v>49059</v>
      </c>
      <c r="G201" s="18">
        <v>47269</v>
      </c>
      <c r="H201" s="9">
        <f t="shared" ca="1" si="3"/>
        <v>2786</v>
      </c>
      <c r="I201" s="9" t="s">
        <v>1026</v>
      </c>
      <c r="J201" s="9"/>
      <c r="K201" s="9"/>
      <c r="L201" s="9"/>
      <c r="M201" s="9"/>
      <c r="N201" s="9"/>
      <c r="O201" s="9" t="s">
        <v>1244</v>
      </c>
    </row>
    <row r="202" spans="1:15" x14ac:dyDescent="0.25">
      <c r="A202" s="9">
        <v>200</v>
      </c>
      <c r="B202" s="9" t="s">
        <v>810</v>
      </c>
      <c r="C202" s="9" t="s">
        <v>811</v>
      </c>
      <c r="D202" s="9" t="s">
        <v>41</v>
      </c>
      <c r="E202" s="9" t="s">
        <v>287</v>
      </c>
      <c r="F202" s="18">
        <v>49059</v>
      </c>
      <c r="G202" s="18">
        <v>47269</v>
      </c>
      <c r="H202" s="9">
        <f t="shared" ca="1" si="3"/>
        <v>2786</v>
      </c>
      <c r="I202" s="9" t="s">
        <v>1026</v>
      </c>
      <c r="J202" s="9"/>
      <c r="K202" s="9"/>
      <c r="L202" s="9"/>
      <c r="M202" s="9"/>
      <c r="N202" s="9"/>
      <c r="O202" s="9" t="s">
        <v>1244</v>
      </c>
    </row>
    <row r="203" spans="1:15" ht="25.5" x14ac:dyDescent="0.25">
      <c r="A203" s="9">
        <v>201</v>
      </c>
      <c r="B203" s="9" t="s">
        <v>813</v>
      </c>
      <c r="C203" s="9" t="s">
        <v>814</v>
      </c>
      <c r="D203" s="9" t="s">
        <v>41</v>
      </c>
      <c r="E203" s="9" t="s">
        <v>287</v>
      </c>
      <c r="F203" s="18">
        <v>49059</v>
      </c>
      <c r="G203" s="18">
        <v>47269</v>
      </c>
      <c r="H203" s="9">
        <f t="shared" ca="1" si="3"/>
        <v>2786</v>
      </c>
      <c r="I203" s="9" t="s">
        <v>1026</v>
      </c>
      <c r="J203" s="9"/>
      <c r="K203" s="9"/>
      <c r="L203" s="9"/>
      <c r="M203" s="9"/>
      <c r="N203" s="9"/>
      <c r="O203" s="9" t="s">
        <v>1244</v>
      </c>
    </row>
    <row r="204" spans="1:15" ht="25.5" x14ac:dyDescent="0.25">
      <c r="A204" s="9">
        <v>202</v>
      </c>
      <c r="B204" s="9" t="s">
        <v>816</v>
      </c>
      <c r="C204" s="9" t="s">
        <v>814</v>
      </c>
      <c r="D204" s="9" t="s">
        <v>41</v>
      </c>
      <c r="E204" s="9" t="s">
        <v>287</v>
      </c>
      <c r="F204" s="18">
        <v>49059</v>
      </c>
      <c r="G204" s="18">
        <v>47269</v>
      </c>
      <c r="H204" s="9">
        <f t="shared" ca="1" si="3"/>
        <v>2786</v>
      </c>
      <c r="I204" s="9" t="s">
        <v>1026</v>
      </c>
      <c r="J204" s="9"/>
      <c r="K204" s="9"/>
      <c r="L204" s="9"/>
      <c r="M204" s="9"/>
      <c r="N204" s="9"/>
      <c r="O204" s="9" t="s">
        <v>1244</v>
      </c>
    </row>
    <row r="205" spans="1:15" ht="25.5" x14ac:dyDescent="0.25">
      <c r="A205" s="9">
        <v>203</v>
      </c>
      <c r="B205" s="9" t="s">
        <v>818</v>
      </c>
      <c r="C205" s="9" t="s">
        <v>819</v>
      </c>
      <c r="D205" s="9" t="s">
        <v>41</v>
      </c>
      <c r="E205" s="9" t="s">
        <v>287</v>
      </c>
      <c r="F205" s="18">
        <v>49059</v>
      </c>
      <c r="G205" s="18">
        <v>47269</v>
      </c>
      <c r="H205" s="9">
        <f t="shared" ca="1" si="3"/>
        <v>2786</v>
      </c>
      <c r="I205" s="9" t="s">
        <v>1026</v>
      </c>
      <c r="J205" s="9"/>
      <c r="K205" s="9"/>
      <c r="L205" s="9"/>
      <c r="M205" s="9"/>
      <c r="N205" s="9"/>
      <c r="O205" s="9" t="s">
        <v>1244</v>
      </c>
    </row>
    <row r="206" spans="1:15" ht="38.25" x14ac:dyDescent="0.25">
      <c r="A206" s="9">
        <v>204</v>
      </c>
      <c r="B206" s="9" t="s">
        <v>821</v>
      </c>
      <c r="C206" s="9" t="s">
        <v>822</v>
      </c>
      <c r="D206" s="9" t="s">
        <v>41</v>
      </c>
      <c r="E206" s="9" t="s">
        <v>287</v>
      </c>
      <c r="F206" s="18">
        <v>49059</v>
      </c>
      <c r="G206" s="18">
        <v>47269</v>
      </c>
      <c r="H206" s="9">
        <f t="shared" ca="1" si="3"/>
        <v>2786</v>
      </c>
      <c r="I206" s="9" t="s">
        <v>1026</v>
      </c>
      <c r="J206" s="9"/>
      <c r="K206" s="9"/>
      <c r="L206" s="9"/>
      <c r="M206" s="9"/>
      <c r="N206" s="9"/>
      <c r="O206" s="9" t="s">
        <v>1244</v>
      </c>
    </row>
    <row r="207" spans="1:15" ht="25.5" x14ac:dyDescent="0.25">
      <c r="A207" s="9">
        <v>205</v>
      </c>
      <c r="B207" s="9" t="s">
        <v>824</v>
      </c>
      <c r="C207" s="9" t="s">
        <v>822</v>
      </c>
      <c r="D207" s="9" t="s">
        <v>41</v>
      </c>
      <c r="E207" s="9" t="s">
        <v>287</v>
      </c>
      <c r="F207" s="18">
        <v>49059</v>
      </c>
      <c r="G207" s="18">
        <v>47269</v>
      </c>
      <c r="H207" s="9">
        <f t="shared" ca="1" si="3"/>
        <v>2786</v>
      </c>
      <c r="I207" s="9" t="s">
        <v>1026</v>
      </c>
      <c r="J207" s="9"/>
      <c r="K207" s="9"/>
      <c r="L207" s="9"/>
      <c r="M207" s="9"/>
      <c r="N207" s="9"/>
      <c r="O207" s="9" t="s">
        <v>1244</v>
      </c>
    </row>
    <row r="208" spans="1:15" ht="38.25" x14ac:dyDescent="0.25">
      <c r="A208" s="9">
        <v>206</v>
      </c>
      <c r="B208" s="9" t="s">
        <v>826</v>
      </c>
      <c r="C208" s="9" t="s">
        <v>822</v>
      </c>
      <c r="D208" s="9" t="s">
        <v>41</v>
      </c>
      <c r="E208" s="9" t="s">
        <v>287</v>
      </c>
      <c r="F208" s="18">
        <v>49059</v>
      </c>
      <c r="G208" s="18">
        <v>47269</v>
      </c>
      <c r="H208" s="9">
        <f t="shared" ca="1" si="3"/>
        <v>2786</v>
      </c>
      <c r="I208" s="9" t="s">
        <v>1026</v>
      </c>
      <c r="J208" s="9"/>
      <c r="K208" s="9"/>
      <c r="L208" s="9"/>
      <c r="M208" s="9"/>
      <c r="N208" s="9"/>
      <c r="O208" s="9" t="s">
        <v>1244</v>
      </c>
    </row>
    <row r="209" spans="1:15" ht="25.5" x14ac:dyDescent="0.25">
      <c r="A209" s="9">
        <v>207</v>
      </c>
      <c r="B209" s="9" t="s">
        <v>828</v>
      </c>
      <c r="C209" s="9" t="s">
        <v>829</v>
      </c>
      <c r="D209" s="9" t="s">
        <v>41</v>
      </c>
      <c r="E209" s="9" t="s">
        <v>287</v>
      </c>
      <c r="F209" s="18">
        <v>49059</v>
      </c>
      <c r="G209" s="18">
        <v>47269</v>
      </c>
      <c r="H209" s="9">
        <f t="shared" ca="1" si="3"/>
        <v>2786</v>
      </c>
      <c r="I209" s="9" t="s">
        <v>1026</v>
      </c>
      <c r="J209" s="9"/>
      <c r="K209" s="9"/>
      <c r="L209" s="9"/>
      <c r="M209" s="9"/>
      <c r="N209" s="9"/>
      <c r="O209" s="9" t="s">
        <v>1244</v>
      </c>
    </row>
    <row r="210" spans="1:15" ht="25.5" x14ac:dyDescent="0.25">
      <c r="A210" s="9">
        <v>208</v>
      </c>
      <c r="B210" s="9" t="s">
        <v>831</v>
      </c>
      <c r="C210" s="9" t="s">
        <v>829</v>
      </c>
      <c r="D210" s="9" t="s">
        <v>41</v>
      </c>
      <c r="E210" s="9" t="s">
        <v>287</v>
      </c>
      <c r="F210" s="18">
        <v>49059</v>
      </c>
      <c r="G210" s="18">
        <v>47269</v>
      </c>
      <c r="H210" s="9">
        <f t="shared" ca="1" si="3"/>
        <v>2786</v>
      </c>
      <c r="I210" s="9" t="s">
        <v>1026</v>
      </c>
      <c r="J210" s="9"/>
      <c r="K210" s="9"/>
      <c r="L210" s="9"/>
      <c r="M210" s="9"/>
      <c r="N210" s="9"/>
      <c r="O210" s="9" t="s">
        <v>1244</v>
      </c>
    </row>
    <row r="211" spans="1:15" ht="25.5" x14ac:dyDescent="0.25">
      <c r="A211" s="9">
        <v>209</v>
      </c>
      <c r="B211" s="9" t="s">
        <v>833</v>
      </c>
      <c r="C211" s="9" t="s">
        <v>829</v>
      </c>
      <c r="D211" s="9" t="s">
        <v>41</v>
      </c>
      <c r="E211" s="9" t="s">
        <v>287</v>
      </c>
      <c r="F211" s="18">
        <v>49059</v>
      </c>
      <c r="G211" s="18">
        <v>47269</v>
      </c>
      <c r="H211" s="9">
        <f t="shared" ca="1" si="3"/>
        <v>2786</v>
      </c>
      <c r="I211" s="9" t="s">
        <v>1026</v>
      </c>
      <c r="J211" s="9"/>
      <c r="K211" s="9"/>
      <c r="L211" s="9"/>
      <c r="M211" s="9"/>
      <c r="N211" s="9"/>
      <c r="O211" s="9" t="s">
        <v>1244</v>
      </c>
    </row>
    <row r="212" spans="1:15" ht="25.5" x14ac:dyDescent="0.25">
      <c r="A212" s="9">
        <v>210</v>
      </c>
      <c r="B212" s="9" t="s">
        <v>835</v>
      </c>
      <c r="C212" s="9" t="s">
        <v>829</v>
      </c>
      <c r="D212" s="9" t="s">
        <v>41</v>
      </c>
      <c r="E212" s="9" t="s">
        <v>287</v>
      </c>
      <c r="F212" s="18">
        <v>49059</v>
      </c>
      <c r="G212" s="18">
        <v>47269</v>
      </c>
      <c r="H212" s="9">
        <f t="shared" ca="1" si="3"/>
        <v>2786</v>
      </c>
      <c r="I212" s="9" t="s">
        <v>1026</v>
      </c>
      <c r="J212" s="9"/>
      <c r="K212" s="9"/>
      <c r="L212" s="9"/>
      <c r="M212" s="9"/>
      <c r="N212" s="9"/>
      <c r="O212" s="9" t="s">
        <v>1244</v>
      </c>
    </row>
    <row r="213" spans="1:15" ht="25.5" x14ac:dyDescent="0.25">
      <c r="A213" s="9">
        <v>211</v>
      </c>
      <c r="B213" s="9" t="s">
        <v>837</v>
      </c>
      <c r="C213" s="9" t="s">
        <v>829</v>
      </c>
      <c r="D213" s="9" t="s">
        <v>41</v>
      </c>
      <c r="E213" s="9" t="s">
        <v>287</v>
      </c>
      <c r="F213" s="18">
        <v>49059</v>
      </c>
      <c r="G213" s="18">
        <v>47269</v>
      </c>
      <c r="H213" s="9">
        <f t="shared" ca="1" si="3"/>
        <v>2786</v>
      </c>
      <c r="I213" s="9" t="s">
        <v>1026</v>
      </c>
      <c r="J213" s="9"/>
      <c r="K213" s="9"/>
      <c r="L213" s="9"/>
      <c r="M213" s="9"/>
      <c r="N213" s="9"/>
      <c r="O213" s="9" t="s">
        <v>1244</v>
      </c>
    </row>
    <row r="214" spans="1:15" ht="25.5" x14ac:dyDescent="0.25">
      <c r="A214" s="9">
        <v>212</v>
      </c>
      <c r="B214" s="9" t="s">
        <v>839</v>
      </c>
      <c r="C214" s="9" t="s">
        <v>840</v>
      </c>
      <c r="D214" s="9" t="s">
        <v>41</v>
      </c>
      <c r="E214" s="9" t="s">
        <v>287</v>
      </c>
      <c r="F214" s="18">
        <v>49059</v>
      </c>
      <c r="G214" s="18">
        <v>47269</v>
      </c>
      <c r="H214" s="9">
        <f t="shared" ca="1" si="3"/>
        <v>2786</v>
      </c>
      <c r="I214" s="9" t="s">
        <v>1026</v>
      </c>
      <c r="J214" s="9"/>
      <c r="K214" s="9"/>
      <c r="L214" s="9"/>
      <c r="M214" s="9"/>
      <c r="N214" s="9"/>
      <c r="O214" s="9" t="s">
        <v>1244</v>
      </c>
    </row>
    <row r="215" spans="1:15" x14ac:dyDescent="0.25">
      <c r="A215" s="9">
        <v>213</v>
      </c>
      <c r="B215" s="9" t="s">
        <v>842</v>
      </c>
      <c r="C215" s="9" t="s">
        <v>840</v>
      </c>
      <c r="D215" s="9" t="s">
        <v>41</v>
      </c>
      <c r="E215" s="9" t="s">
        <v>287</v>
      </c>
      <c r="F215" s="18">
        <v>49059</v>
      </c>
      <c r="G215" s="18">
        <v>47269</v>
      </c>
      <c r="H215" s="9">
        <f t="shared" ca="1" si="3"/>
        <v>2786</v>
      </c>
      <c r="I215" s="9" t="s">
        <v>1026</v>
      </c>
      <c r="J215" s="9"/>
      <c r="K215" s="9"/>
      <c r="L215" s="9"/>
      <c r="M215" s="9"/>
      <c r="N215" s="9"/>
      <c r="O215" s="9" t="s">
        <v>1244</v>
      </c>
    </row>
    <row r="216" spans="1:15" ht="25.5" x14ac:dyDescent="0.25">
      <c r="A216" s="9">
        <v>214</v>
      </c>
      <c r="B216" s="9" t="s">
        <v>844</v>
      </c>
      <c r="C216" s="9" t="s">
        <v>840</v>
      </c>
      <c r="D216" s="9" t="s">
        <v>41</v>
      </c>
      <c r="E216" s="9" t="s">
        <v>287</v>
      </c>
      <c r="F216" s="18">
        <v>49059</v>
      </c>
      <c r="G216" s="18">
        <v>47269</v>
      </c>
      <c r="H216" s="9">
        <f t="shared" ca="1" si="3"/>
        <v>2786</v>
      </c>
      <c r="I216" s="9" t="s">
        <v>1026</v>
      </c>
      <c r="J216" s="9"/>
      <c r="K216" s="9"/>
      <c r="L216" s="9"/>
      <c r="M216" s="9"/>
      <c r="N216" s="9"/>
      <c r="O216" s="9" t="s">
        <v>1244</v>
      </c>
    </row>
    <row r="217" spans="1:15" x14ac:dyDescent="0.25">
      <c r="A217" s="9">
        <v>215</v>
      </c>
      <c r="B217" s="9" t="s">
        <v>846</v>
      </c>
      <c r="C217" s="9" t="s">
        <v>840</v>
      </c>
      <c r="D217" s="9" t="s">
        <v>41</v>
      </c>
      <c r="E217" s="9" t="s">
        <v>287</v>
      </c>
      <c r="F217" s="18">
        <v>49059</v>
      </c>
      <c r="G217" s="18">
        <v>47269</v>
      </c>
      <c r="H217" s="9">
        <f t="shared" ca="1" si="3"/>
        <v>2786</v>
      </c>
      <c r="I217" s="9" t="s">
        <v>1026</v>
      </c>
      <c r="J217" s="9"/>
      <c r="K217" s="9"/>
      <c r="L217" s="9"/>
      <c r="M217" s="9"/>
      <c r="N217" s="9"/>
      <c r="O217" s="9" t="s">
        <v>1244</v>
      </c>
    </row>
    <row r="218" spans="1:15" ht="25.5" x14ac:dyDescent="0.25">
      <c r="A218" s="9">
        <v>216</v>
      </c>
      <c r="B218" s="9" t="s">
        <v>848</v>
      </c>
      <c r="C218" s="9" t="s">
        <v>840</v>
      </c>
      <c r="D218" s="9" t="s">
        <v>41</v>
      </c>
      <c r="E218" s="9" t="s">
        <v>287</v>
      </c>
      <c r="F218" s="18">
        <v>49059</v>
      </c>
      <c r="G218" s="18">
        <v>47269</v>
      </c>
      <c r="H218" s="9">
        <f t="shared" ca="1" si="3"/>
        <v>2786</v>
      </c>
      <c r="I218" s="9" t="s">
        <v>1026</v>
      </c>
      <c r="J218" s="9"/>
      <c r="K218" s="9"/>
      <c r="L218" s="9"/>
      <c r="M218" s="9"/>
      <c r="N218" s="9"/>
      <c r="O218" s="9" t="s">
        <v>1244</v>
      </c>
    </row>
    <row r="219" spans="1:15" x14ac:dyDescent="0.25">
      <c r="A219" s="9">
        <v>217</v>
      </c>
      <c r="B219" s="9" t="s">
        <v>850</v>
      </c>
      <c r="C219" s="9" t="s">
        <v>840</v>
      </c>
      <c r="D219" s="9" t="s">
        <v>41</v>
      </c>
      <c r="E219" s="9" t="s">
        <v>287</v>
      </c>
      <c r="F219" s="18">
        <v>49059</v>
      </c>
      <c r="G219" s="18">
        <v>47269</v>
      </c>
      <c r="H219" s="9">
        <f t="shared" ca="1" si="3"/>
        <v>2786</v>
      </c>
      <c r="I219" s="9" t="s">
        <v>1026</v>
      </c>
      <c r="J219" s="9"/>
      <c r="K219" s="9"/>
      <c r="L219" s="9"/>
      <c r="M219" s="9"/>
      <c r="N219" s="9"/>
      <c r="O219" s="9" t="s">
        <v>1244</v>
      </c>
    </row>
    <row r="220" spans="1:15" ht="25.5" x14ac:dyDescent="0.25">
      <c r="A220" s="9">
        <v>218</v>
      </c>
      <c r="B220" s="9" t="s">
        <v>852</v>
      </c>
      <c r="C220" s="9" t="s">
        <v>840</v>
      </c>
      <c r="D220" s="9" t="s">
        <v>41</v>
      </c>
      <c r="E220" s="9" t="s">
        <v>287</v>
      </c>
      <c r="F220" s="18">
        <v>49059</v>
      </c>
      <c r="G220" s="18">
        <v>47269</v>
      </c>
      <c r="H220" s="9">
        <f t="shared" ca="1" si="3"/>
        <v>2786</v>
      </c>
      <c r="I220" s="9" t="s">
        <v>1026</v>
      </c>
      <c r="J220" s="9"/>
      <c r="K220" s="9"/>
      <c r="L220" s="9"/>
      <c r="M220" s="9"/>
      <c r="N220" s="9"/>
      <c r="O220" s="9" t="s">
        <v>1244</v>
      </c>
    </row>
    <row r="221" spans="1:15" x14ac:dyDescent="0.25">
      <c r="A221" s="9">
        <v>219</v>
      </c>
      <c r="B221" s="9" t="s">
        <v>854</v>
      </c>
      <c r="C221" s="9" t="s">
        <v>840</v>
      </c>
      <c r="D221" s="9" t="s">
        <v>41</v>
      </c>
      <c r="E221" s="9" t="s">
        <v>287</v>
      </c>
      <c r="F221" s="18">
        <v>49059</v>
      </c>
      <c r="G221" s="18">
        <v>47269</v>
      </c>
      <c r="H221" s="9">
        <f t="shared" ca="1" si="3"/>
        <v>2786</v>
      </c>
      <c r="I221" s="9" t="s">
        <v>1026</v>
      </c>
      <c r="J221" s="9"/>
      <c r="K221" s="9"/>
      <c r="L221" s="9"/>
      <c r="M221" s="9"/>
      <c r="N221" s="9"/>
      <c r="O221" s="9" t="s">
        <v>1244</v>
      </c>
    </row>
    <row r="222" spans="1:15" ht="25.5" x14ac:dyDescent="0.25">
      <c r="A222" s="9">
        <v>220</v>
      </c>
      <c r="B222" s="9" t="s">
        <v>856</v>
      </c>
      <c r="C222" s="9" t="s">
        <v>857</v>
      </c>
      <c r="D222" s="9" t="s">
        <v>41</v>
      </c>
      <c r="E222" s="9" t="s">
        <v>287</v>
      </c>
      <c r="F222" s="18">
        <v>49059</v>
      </c>
      <c r="G222" s="18">
        <v>47269</v>
      </c>
      <c r="H222" s="9">
        <f t="shared" ca="1" si="3"/>
        <v>2786</v>
      </c>
      <c r="I222" s="9" t="s">
        <v>1026</v>
      </c>
      <c r="J222" s="9"/>
      <c r="K222" s="9"/>
      <c r="L222" s="9"/>
      <c r="M222" s="9"/>
      <c r="N222" s="9"/>
      <c r="O222" s="9" t="s">
        <v>1244</v>
      </c>
    </row>
    <row r="223" spans="1:15" ht="25.5" x14ac:dyDescent="0.25">
      <c r="A223" s="9">
        <v>221</v>
      </c>
      <c r="B223" s="9" t="s">
        <v>859</v>
      </c>
      <c r="C223" s="9" t="s">
        <v>857</v>
      </c>
      <c r="D223" s="9" t="s">
        <v>41</v>
      </c>
      <c r="E223" s="9" t="s">
        <v>287</v>
      </c>
      <c r="F223" s="18">
        <v>49059</v>
      </c>
      <c r="G223" s="18">
        <v>47269</v>
      </c>
      <c r="H223" s="9">
        <f t="shared" ca="1" si="3"/>
        <v>2786</v>
      </c>
      <c r="I223" s="9" t="s">
        <v>1026</v>
      </c>
      <c r="J223" s="9"/>
      <c r="K223" s="9"/>
      <c r="L223" s="9"/>
      <c r="M223" s="9"/>
      <c r="N223" s="9"/>
      <c r="O223" s="9" t="s">
        <v>1244</v>
      </c>
    </row>
    <row r="224" spans="1:15" ht="38.25" x14ac:dyDescent="0.25">
      <c r="A224" s="9">
        <v>222</v>
      </c>
      <c r="B224" s="9" t="s">
        <v>861</v>
      </c>
      <c r="C224" s="9" t="s">
        <v>862</v>
      </c>
      <c r="D224" s="9" t="s">
        <v>41</v>
      </c>
      <c r="E224" s="9" t="s">
        <v>287</v>
      </c>
      <c r="F224" s="18">
        <v>49059</v>
      </c>
      <c r="G224" s="18">
        <v>47269</v>
      </c>
      <c r="H224" s="9">
        <f t="shared" ca="1" si="3"/>
        <v>2786</v>
      </c>
      <c r="I224" s="9" t="s">
        <v>1026</v>
      </c>
      <c r="J224" s="9"/>
      <c r="K224" s="9"/>
      <c r="L224" s="9"/>
      <c r="M224" s="9"/>
      <c r="N224" s="9"/>
      <c r="O224" s="9" t="s">
        <v>1244</v>
      </c>
    </row>
    <row r="225" spans="1:15" ht="38.25" x14ac:dyDescent="0.25">
      <c r="A225" s="9">
        <v>223</v>
      </c>
      <c r="B225" s="9" t="s">
        <v>864</v>
      </c>
      <c r="C225" s="9" t="s">
        <v>865</v>
      </c>
      <c r="D225" s="9" t="s">
        <v>41</v>
      </c>
      <c r="E225" s="9" t="s">
        <v>287</v>
      </c>
      <c r="F225" s="18">
        <v>49059</v>
      </c>
      <c r="G225" s="18">
        <v>47269</v>
      </c>
      <c r="H225" s="9">
        <f t="shared" ca="1" si="3"/>
        <v>2786</v>
      </c>
      <c r="I225" s="9" t="s">
        <v>1026</v>
      </c>
      <c r="J225" s="9"/>
      <c r="K225" s="9"/>
      <c r="L225" s="9"/>
      <c r="M225" s="9"/>
      <c r="N225" s="9"/>
      <c r="O225" s="9" t="s">
        <v>1244</v>
      </c>
    </row>
    <row r="226" spans="1:15" x14ac:dyDescent="0.25">
      <c r="A226" s="9">
        <v>224</v>
      </c>
      <c r="B226" s="9" t="s">
        <v>867</v>
      </c>
      <c r="C226" s="9" t="s">
        <v>868</v>
      </c>
      <c r="D226" s="9" t="s">
        <v>41</v>
      </c>
      <c r="E226" s="9" t="s">
        <v>287</v>
      </c>
      <c r="F226" s="18">
        <v>49059</v>
      </c>
      <c r="G226" s="18">
        <v>47269</v>
      </c>
      <c r="H226" s="9">
        <f t="shared" ca="1" si="3"/>
        <v>2786</v>
      </c>
      <c r="I226" s="9" t="s">
        <v>1026</v>
      </c>
      <c r="J226" s="9"/>
      <c r="K226" s="9"/>
      <c r="L226" s="9"/>
      <c r="M226" s="9"/>
      <c r="N226" s="9"/>
      <c r="O226" s="9" t="s">
        <v>1244</v>
      </c>
    </row>
    <row r="227" spans="1:15" ht="25.5" x14ac:dyDescent="0.25">
      <c r="A227" s="9">
        <v>225</v>
      </c>
      <c r="B227" s="9" t="s">
        <v>870</v>
      </c>
      <c r="C227" s="9" t="s">
        <v>871</v>
      </c>
      <c r="D227" s="9" t="s">
        <v>41</v>
      </c>
      <c r="E227" s="9" t="s">
        <v>287</v>
      </c>
      <c r="F227" s="18">
        <v>49059</v>
      </c>
      <c r="G227" s="18">
        <v>47269</v>
      </c>
      <c r="H227" s="9">
        <f t="shared" ca="1" si="3"/>
        <v>2786</v>
      </c>
      <c r="I227" s="9" t="s">
        <v>1026</v>
      </c>
      <c r="J227" s="9"/>
      <c r="K227" s="9"/>
      <c r="L227" s="9"/>
      <c r="M227" s="9"/>
      <c r="N227" s="9"/>
      <c r="O227" s="9" t="s">
        <v>1244</v>
      </c>
    </row>
    <row r="228" spans="1:15" ht="25.5" x14ac:dyDescent="0.25">
      <c r="A228" s="9">
        <v>226</v>
      </c>
      <c r="B228" s="9" t="s">
        <v>873</v>
      </c>
      <c r="C228" s="9" t="s">
        <v>871</v>
      </c>
      <c r="D228" s="9" t="s">
        <v>41</v>
      </c>
      <c r="E228" s="9" t="s">
        <v>287</v>
      </c>
      <c r="F228" s="18">
        <v>49059</v>
      </c>
      <c r="G228" s="18">
        <v>47269</v>
      </c>
      <c r="H228" s="9">
        <f t="shared" ca="1" si="3"/>
        <v>2786</v>
      </c>
      <c r="I228" s="9" t="s">
        <v>1026</v>
      </c>
      <c r="J228" s="9"/>
      <c r="K228" s="9"/>
      <c r="L228" s="9"/>
      <c r="M228" s="9"/>
      <c r="N228" s="9"/>
      <c r="O228" s="9" t="s">
        <v>1244</v>
      </c>
    </row>
    <row r="229" spans="1:15" x14ac:dyDescent="0.25">
      <c r="A229" s="9">
        <v>227</v>
      </c>
      <c r="B229" s="9" t="s">
        <v>875</v>
      </c>
      <c r="C229" s="9" t="s">
        <v>876</v>
      </c>
      <c r="D229" s="9" t="s">
        <v>41</v>
      </c>
      <c r="E229" s="9" t="s">
        <v>287</v>
      </c>
      <c r="F229" s="18">
        <v>49059</v>
      </c>
      <c r="G229" s="18">
        <v>47269</v>
      </c>
      <c r="H229" s="9">
        <f t="shared" ca="1" si="3"/>
        <v>2786</v>
      </c>
      <c r="I229" s="9" t="s">
        <v>1026</v>
      </c>
      <c r="J229" s="9"/>
      <c r="K229" s="9"/>
      <c r="L229" s="9"/>
      <c r="M229" s="9"/>
      <c r="N229" s="9"/>
      <c r="O229" s="9" t="s">
        <v>1244</v>
      </c>
    </row>
    <row r="230" spans="1:15" ht="25.5" x14ac:dyDescent="0.25">
      <c r="A230" s="9">
        <v>228</v>
      </c>
      <c r="B230" s="9" t="s">
        <v>878</v>
      </c>
      <c r="C230" s="9" t="s">
        <v>879</v>
      </c>
      <c r="D230" s="9" t="s">
        <v>41</v>
      </c>
      <c r="E230" s="9" t="s">
        <v>287</v>
      </c>
      <c r="F230" s="18">
        <v>49059</v>
      </c>
      <c r="G230" s="18">
        <v>47269</v>
      </c>
      <c r="H230" s="9">
        <f t="shared" ca="1" si="3"/>
        <v>2786</v>
      </c>
      <c r="I230" s="9" t="s">
        <v>1026</v>
      </c>
      <c r="J230" s="9"/>
      <c r="K230" s="9"/>
      <c r="L230" s="9"/>
      <c r="M230" s="9"/>
      <c r="N230" s="9"/>
      <c r="O230" s="9" t="s">
        <v>1244</v>
      </c>
    </row>
    <row r="231" spans="1:15" ht="25.5" x14ac:dyDescent="0.25">
      <c r="A231" s="9">
        <v>229</v>
      </c>
      <c r="B231" s="9" t="s">
        <v>881</v>
      </c>
      <c r="C231" s="9" t="s">
        <v>879</v>
      </c>
      <c r="D231" s="9" t="s">
        <v>41</v>
      </c>
      <c r="E231" s="9" t="s">
        <v>287</v>
      </c>
      <c r="F231" s="18">
        <v>49059</v>
      </c>
      <c r="G231" s="18">
        <v>47269</v>
      </c>
      <c r="H231" s="9">
        <f t="shared" ca="1" si="3"/>
        <v>2786</v>
      </c>
      <c r="I231" s="9" t="s">
        <v>1026</v>
      </c>
      <c r="J231" s="9"/>
      <c r="K231" s="9"/>
      <c r="L231" s="9"/>
      <c r="M231" s="9"/>
      <c r="N231" s="9"/>
      <c r="O231" s="9" t="s">
        <v>1244</v>
      </c>
    </row>
    <row r="232" spans="1:15" ht="25.5" x14ac:dyDescent="0.25">
      <c r="A232" s="9">
        <v>230</v>
      </c>
      <c r="B232" s="9" t="s">
        <v>883</v>
      </c>
      <c r="C232" s="9" t="s">
        <v>884</v>
      </c>
      <c r="D232" s="9" t="s">
        <v>41</v>
      </c>
      <c r="E232" s="9" t="s">
        <v>287</v>
      </c>
      <c r="F232" s="18">
        <v>49059</v>
      </c>
      <c r="G232" s="18">
        <v>47269</v>
      </c>
      <c r="H232" s="9">
        <f t="shared" ca="1" si="3"/>
        <v>2786</v>
      </c>
      <c r="I232" s="9" t="s">
        <v>1026</v>
      </c>
      <c r="J232" s="9"/>
      <c r="K232" s="9"/>
      <c r="L232" s="9"/>
      <c r="M232" s="9"/>
      <c r="N232" s="9"/>
      <c r="O232" s="9" t="s">
        <v>1244</v>
      </c>
    </row>
    <row r="233" spans="1:15" ht="25.5" x14ac:dyDescent="0.25">
      <c r="A233" s="9">
        <v>231</v>
      </c>
      <c r="B233" s="9" t="s">
        <v>886</v>
      </c>
      <c r="C233" s="9" t="s">
        <v>884</v>
      </c>
      <c r="D233" s="9" t="s">
        <v>41</v>
      </c>
      <c r="E233" s="9" t="s">
        <v>287</v>
      </c>
      <c r="F233" s="18">
        <v>49059</v>
      </c>
      <c r="G233" s="18">
        <v>47269</v>
      </c>
      <c r="H233" s="9">
        <f t="shared" ca="1" si="3"/>
        <v>2786</v>
      </c>
      <c r="I233" s="9" t="s">
        <v>1026</v>
      </c>
      <c r="J233" s="9"/>
      <c r="K233" s="9"/>
      <c r="L233" s="9"/>
      <c r="M233" s="9"/>
      <c r="N233" s="9"/>
      <c r="O233" s="9" t="s">
        <v>1244</v>
      </c>
    </row>
    <row r="234" spans="1:15" ht="25.5" x14ac:dyDescent="0.25">
      <c r="A234" s="9">
        <v>232</v>
      </c>
      <c r="B234" s="9" t="s">
        <v>888</v>
      </c>
      <c r="C234" s="9" t="s">
        <v>884</v>
      </c>
      <c r="D234" s="9" t="s">
        <v>41</v>
      </c>
      <c r="E234" s="9" t="s">
        <v>287</v>
      </c>
      <c r="F234" s="18">
        <v>49059</v>
      </c>
      <c r="G234" s="18">
        <v>47269</v>
      </c>
      <c r="H234" s="9">
        <f t="shared" ca="1" si="3"/>
        <v>2786</v>
      </c>
      <c r="I234" s="9" t="s">
        <v>1026</v>
      </c>
      <c r="J234" s="9"/>
      <c r="K234" s="9"/>
      <c r="L234" s="9"/>
      <c r="M234" s="9"/>
      <c r="N234" s="9"/>
      <c r="O234" s="9" t="s">
        <v>1244</v>
      </c>
    </row>
    <row r="235" spans="1:15" ht="25.5" x14ac:dyDescent="0.25">
      <c r="A235" s="9">
        <v>233</v>
      </c>
      <c r="B235" s="9" t="s">
        <v>890</v>
      </c>
      <c r="C235" s="9" t="s">
        <v>891</v>
      </c>
      <c r="D235" s="9" t="s">
        <v>41</v>
      </c>
      <c r="E235" s="9" t="s">
        <v>287</v>
      </c>
      <c r="F235" s="18">
        <v>49059</v>
      </c>
      <c r="G235" s="18">
        <v>47269</v>
      </c>
      <c r="H235" s="9">
        <f t="shared" ca="1" si="3"/>
        <v>2786</v>
      </c>
      <c r="I235" s="9" t="s">
        <v>1026</v>
      </c>
      <c r="J235" s="9"/>
      <c r="K235" s="9"/>
      <c r="L235" s="9"/>
      <c r="M235" s="9"/>
      <c r="N235" s="9"/>
      <c r="O235" s="9" t="s">
        <v>1244</v>
      </c>
    </row>
    <row r="236" spans="1:15" ht="25.5" x14ac:dyDescent="0.25">
      <c r="A236" s="9">
        <v>234</v>
      </c>
      <c r="B236" s="9" t="s">
        <v>893</v>
      </c>
      <c r="C236" s="9" t="s">
        <v>894</v>
      </c>
      <c r="D236" s="9" t="s">
        <v>41</v>
      </c>
      <c r="E236" s="9" t="s">
        <v>287</v>
      </c>
      <c r="F236" s="18">
        <v>49059</v>
      </c>
      <c r="G236" s="18">
        <v>47269</v>
      </c>
      <c r="H236" s="9">
        <f t="shared" ca="1" si="3"/>
        <v>2786</v>
      </c>
      <c r="I236" s="9" t="s">
        <v>1026</v>
      </c>
      <c r="J236" s="9"/>
      <c r="K236" s="9"/>
      <c r="L236" s="9"/>
      <c r="M236" s="9"/>
      <c r="N236" s="9"/>
      <c r="O236" s="9" t="s">
        <v>1244</v>
      </c>
    </row>
    <row r="237" spans="1:15" ht="25.5" x14ac:dyDescent="0.25">
      <c r="A237" s="9">
        <v>235</v>
      </c>
      <c r="B237" s="9" t="s">
        <v>896</v>
      </c>
      <c r="C237" s="9" t="s">
        <v>894</v>
      </c>
      <c r="D237" s="9" t="s">
        <v>41</v>
      </c>
      <c r="E237" s="9" t="s">
        <v>287</v>
      </c>
      <c r="F237" s="18">
        <v>49059</v>
      </c>
      <c r="G237" s="18">
        <v>47269</v>
      </c>
      <c r="H237" s="9">
        <f t="shared" ca="1" si="3"/>
        <v>2786</v>
      </c>
      <c r="I237" s="9" t="s">
        <v>1026</v>
      </c>
      <c r="J237" s="9"/>
      <c r="K237" s="9"/>
      <c r="L237" s="9"/>
      <c r="M237" s="9"/>
      <c r="N237" s="9"/>
      <c r="O237" s="9" t="s">
        <v>1244</v>
      </c>
    </row>
    <row r="238" spans="1:15" ht="25.5" x14ac:dyDescent="0.25">
      <c r="A238" s="9">
        <v>236</v>
      </c>
      <c r="B238" s="9" t="s">
        <v>898</v>
      </c>
      <c r="C238" s="9" t="s">
        <v>899</v>
      </c>
      <c r="D238" s="9" t="s">
        <v>41</v>
      </c>
      <c r="E238" s="9" t="s">
        <v>287</v>
      </c>
      <c r="F238" s="18">
        <v>49059</v>
      </c>
      <c r="G238" s="18">
        <v>47269</v>
      </c>
      <c r="H238" s="9">
        <f t="shared" ca="1" si="3"/>
        <v>2786</v>
      </c>
      <c r="I238" s="9" t="s">
        <v>1026</v>
      </c>
      <c r="J238" s="9"/>
      <c r="K238" s="9"/>
      <c r="L238" s="9"/>
      <c r="M238" s="9"/>
      <c r="N238" s="9"/>
      <c r="O238" s="9" t="s">
        <v>1244</v>
      </c>
    </row>
    <row r="239" spans="1:15" ht="25.5" x14ac:dyDescent="0.25">
      <c r="A239" s="9">
        <v>237</v>
      </c>
      <c r="B239" s="9" t="s">
        <v>901</v>
      </c>
      <c r="C239" s="9" t="s">
        <v>902</v>
      </c>
      <c r="D239" s="9" t="s">
        <v>41</v>
      </c>
      <c r="E239" s="9" t="s">
        <v>287</v>
      </c>
      <c r="F239" s="18">
        <v>49059</v>
      </c>
      <c r="G239" s="18">
        <v>47269</v>
      </c>
      <c r="H239" s="9">
        <f t="shared" ca="1" si="3"/>
        <v>2786</v>
      </c>
      <c r="I239" s="9" t="s">
        <v>1026</v>
      </c>
      <c r="J239" s="9"/>
      <c r="K239" s="9"/>
      <c r="L239" s="9"/>
      <c r="M239" s="9"/>
      <c r="N239" s="9"/>
      <c r="O239" s="9" t="s">
        <v>1244</v>
      </c>
    </row>
    <row r="240" spans="1:15" ht="25.5" x14ac:dyDescent="0.25">
      <c r="A240" s="9">
        <v>238</v>
      </c>
      <c r="B240" s="9" t="s">
        <v>905</v>
      </c>
      <c r="C240" s="9" t="s">
        <v>906</v>
      </c>
      <c r="D240" s="9" t="s">
        <v>41</v>
      </c>
      <c r="E240" s="9" t="s">
        <v>287</v>
      </c>
      <c r="F240" s="18">
        <v>49059</v>
      </c>
      <c r="G240" s="18">
        <v>47269</v>
      </c>
      <c r="H240" s="9">
        <f t="shared" ca="1" si="3"/>
        <v>2786</v>
      </c>
      <c r="I240" s="9" t="s">
        <v>1026</v>
      </c>
      <c r="J240" s="9"/>
      <c r="K240" s="9"/>
      <c r="L240" s="9"/>
      <c r="M240" s="9"/>
      <c r="N240" s="9"/>
      <c r="O240" s="9" t="s">
        <v>1244</v>
      </c>
    </row>
    <row r="241" spans="1:15" ht="25.5" x14ac:dyDescent="0.25">
      <c r="A241" s="9">
        <v>239</v>
      </c>
      <c r="B241" s="9" t="s">
        <v>908</v>
      </c>
      <c r="C241" s="9" t="s">
        <v>906</v>
      </c>
      <c r="D241" s="9" t="s">
        <v>41</v>
      </c>
      <c r="E241" s="9" t="s">
        <v>287</v>
      </c>
      <c r="F241" s="18">
        <v>49059</v>
      </c>
      <c r="G241" s="18">
        <v>47269</v>
      </c>
      <c r="H241" s="9">
        <f t="shared" ca="1" si="3"/>
        <v>2786</v>
      </c>
      <c r="I241" s="9" t="s">
        <v>1026</v>
      </c>
      <c r="J241" s="9"/>
      <c r="K241" s="9"/>
      <c r="L241" s="9"/>
      <c r="M241" s="9"/>
      <c r="N241" s="9"/>
      <c r="O241" s="9" t="s">
        <v>1244</v>
      </c>
    </row>
    <row r="242" spans="1:15" ht="25.5" x14ac:dyDescent="0.25">
      <c r="A242" s="9">
        <v>240</v>
      </c>
      <c r="B242" s="9" t="s">
        <v>910</v>
      </c>
      <c r="C242" s="9" t="s">
        <v>906</v>
      </c>
      <c r="D242" s="9" t="s">
        <v>41</v>
      </c>
      <c r="E242" s="9" t="s">
        <v>287</v>
      </c>
      <c r="F242" s="18">
        <v>49059</v>
      </c>
      <c r="G242" s="18">
        <v>47269</v>
      </c>
      <c r="H242" s="9">
        <f t="shared" ca="1" si="3"/>
        <v>2786</v>
      </c>
      <c r="I242" s="9" t="s">
        <v>1026</v>
      </c>
      <c r="J242" s="9"/>
      <c r="K242" s="9"/>
      <c r="L242" s="9"/>
      <c r="M242" s="9"/>
      <c r="N242" s="9"/>
      <c r="O242" s="9" t="s">
        <v>1244</v>
      </c>
    </row>
    <row r="243" spans="1:15" ht="25.5" x14ac:dyDescent="0.25">
      <c r="A243" s="9">
        <v>241</v>
      </c>
      <c r="B243" s="9" t="s">
        <v>912</v>
      </c>
      <c r="C243" s="9" t="s">
        <v>906</v>
      </c>
      <c r="D243" s="9" t="s">
        <v>41</v>
      </c>
      <c r="E243" s="9" t="s">
        <v>287</v>
      </c>
      <c r="F243" s="18">
        <v>49059</v>
      </c>
      <c r="G243" s="18">
        <v>47269</v>
      </c>
      <c r="H243" s="9">
        <f t="shared" ca="1" si="3"/>
        <v>2786</v>
      </c>
      <c r="I243" s="9" t="s">
        <v>1026</v>
      </c>
      <c r="J243" s="9"/>
      <c r="K243" s="9"/>
      <c r="L243" s="9"/>
      <c r="M243" s="9"/>
      <c r="N243" s="9"/>
      <c r="O243" s="9" t="s">
        <v>1244</v>
      </c>
    </row>
    <row r="244" spans="1:15" ht="25.5" x14ac:dyDescent="0.25">
      <c r="A244" s="9">
        <v>242</v>
      </c>
      <c r="B244" s="9" t="s">
        <v>914</v>
      </c>
      <c r="C244" s="9" t="s">
        <v>906</v>
      </c>
      <c r="D244" s="9" t="s">
        <v>41</v>
      </c>
      <c r="E244" s="9" t="s">
        <v>287</v>
      </c>
      <c r="F244" s="18">
        <v>49059</v>
      </c>
      <c r="G244" s="18">
        <v>47269</v>
      </c>
      <c r="H244" s="9">
        <f t="shared" ca="1" si="3"/>
        <v>2786</v>
      </c>
      <c r="I244" s="9" t="s">
        <v>1026</v>
      </c>
      <c r="J244" s="9"/>
      <c r="K244" s="9"/>
      <c r="L244" s="9"/>
      <c r="M244" s="9"/>
      <c r="N244" s="9"/>
      <c r="O244" s="9" t="s">
        <v>1244</v>
      </c>
    </row>
    <row r="245" spans="1:15" ht="25.5" x14ac:dyDescent="0.25">
      <c r="A245" s="9">
        <v>243</v>
      </c>
      <c r="B245" s="9" t="s">
        <v>916</v>
      </c>
      <c r="C245" s="9" t="s">
        <v>906</v>
      </c>
      <c r="D245" s="9" t="s">
        <v>41</v>
      </c>
      <c r="E245" s="9" t="s">
        <v>287</v>
      </c>
      <c r="F245" s="18">
        <v>49059</v>
      </c>
      <c r="G245" s="18">
        <v>47269</v>
      </c>
      <c r="H245" s="9">
        <f t="shared" ca="1" si="3"/>
        <v>2786</v>
      </c>
      <c r="I245" s="9" t="s">
        <v>1026</v>
      </c>
      <c r="J245" s="9"/>
      <c r="K245" s="9"/>
      <c r="L245" s="9"/>
      <c r="M245" s="9"/>
      <c r="N245" s="9"/>
      <c r="O245" s="9" t="s">
        <v>1244</v>
      </c>
    </row>
    <row r="246" spans="1:15" ht="38.25" x14ac:dyDescent="0.25">
      <c r="A246" s="9">
        <v>244</v>
      </c>
      <c r="B246" s="9" t="s">
        <v>918</v>
      </c>
      <c r="C246" s="9" t="s">
        <v>906</v>
      </c>
      <c r="D246" s="9" t="s">
        <v>41</v>
      </c>
      <c r="E246" s="9" t="s">
        <v>287</v>
      </c>
      <c r="F246" s="18">
        <v>49059</v>
      </c>
      <c r="G246" s="18">
        <v>47269</v>
      </c>
      <c r="H246" s="9">
        <f t="shared" ca="1" si="3"/>
        <v>2786</v>
      </c>
      <c r="I246" s="9" t="s">
        <v>1026</v>
      </c>
      <c r="J246" s="9"/>
      <c r="K246" s="9"/>
      <c r="L246" s="9"/>
      <c r="M246" s="9"/>
      <c r="N246" s="9"/>
      <c r="O246" s="9" t="s">
        <v>1244</v>
      </c>
    </row>
    <row r="247" spans="1:15" ht="25.5" x14ac:dyDescent="0.25">
      <c r="A247" s="9">
        <v>245</v>
      </c>
      <c r="B247" s="9" t="s">
        <v>920</v>
      </c>
      <c r="C247" s="9" t="s">
        <v>906</v>
      </c>
      <c r="D247" s="9" t="s">
        <v>41</v>
      </c>
      <c r="E247" s="9" t="s">
        <v>287</v>
      </c>
      <c r="F247" s="18">
        <v>49059</v>
      </c>
      <c r="G247" s="18">
        <v>47269</v>
      </c>
      <c r="H247" s="9">
        <f t="shared" ca="1" si="3"/>
        <v>2786</v>
      </c>
      <c r="I247" s="9" t="s">
        <v>1026</v>
      </c>
      <c r="J247" s="9"/>
      <c r="K247" s="9"/>
      <c r="L247" s="9"/>
      <c r="M247" s="9"/>
      <c r="N247" s="9"/>
      <c r="O247" s="9" t="s">
        <v>1244</v>
      </c>
    </row>
    <row r="248" spans="1:15" ht="25.5" x14ac:dyDescent="0.25">
      <c r="A248" s="9">
        <v>246</v>
      </c>
      <c r="B248" s="9" t="s">
        <v>922</v>
      </c>
      <c r="C248" s="9" t="s">
        <v>906</v>
      </c>
      <c r="D248" s="9" t="s">
        <v>41</v>
      </c>
      <c r="E248" s="9" t="s">
        <v>287</v>
      </c>
      <c r="F248" s="18">
        <v>49059</v>
      </c>
      <c r="G248" s="18">
        <v>47269</v>
      </c>
      <c r="H248" s="9">
        <f t="shared" ca="1" si="3"/>
        <v>2786</v>
      </c>
      <c r="I248" s="9" t="s">
        <v>1026</v>
      </c>
      <c r="J248" s="9"/>
      <c r="K248" s="9"/>
      <c r="L248" s="9"/>
      <c r="M248" s="9"/>
      <c r="N248" s="9"/>
      <c r="O248" s="9" t="s">
        <v>1244</v>
      </c>
    </row>
    <row r="249" spans="1:15" ht="25.5" x14ac:dyDescent="0.25">
      <c r="A249" s="9">
        <v>247</v>
      </c>
      <c r="B249" s="9" t="s">
        <v>924</v>
      </c>
      <c r="C249" s="9" t="s">
        <v>906</v>
      </c>
      <c r="D249" s="9" t="s">
        <v>41</v>
      </c>
      <c r="E249" s="9" t="s">
        <v>287</v>
      </c>
      <c r="F249" s="18">
        <v>49059</v>
      </c>
      <c r="G249" s="18">
        <v>47269</v>
      </c>
      <c r="H249" s="9">
        <f t="shared" ca="1" si="3"/>
        <v>2786</v>
      </c>
      <c r="I249" s="9" t="s">
        <v>1026</v>
      </c>
      <c r="J249" s="9"/>
      <c r="K249" s="9"/>
      <c r="L249" s="9"/>
      <c r="M249" s="9"/>
      <c r="N249" s="9"/>
      <c r="O249" s="9" t="s">
        <v>1244</v>
      </c>
    </row>
    <row r="250" spans="1:15" ht="25.5" x14ac:dyDescent="0.25">
      <c r="A250" s="9">
        <v>248</v>
      </c>
      <c r="B250" s="9" t="s">
        <v>926</v>
      </c>
      <c r="C250" s="9" t="s">
        <v>906</v>
      </c>
      <c r="D250" s="9" t="s">
        <v>41</v>
      </c>
      <c r="E250" s="9" t="s">
        <v>287</v>
      </c>
      <c r="F250" s="18">
        <v>49059</v>
      </c>
      <c r="G250" s="18">
        <v>47269</v>
      </c>
      <c r="H250" s="9">
        <f t="shared" ca="1" si="3"/>
        <v>2786</v>
      </c>
      <c r="I250" s="9" t="s">
        <v>1026</v>
      </c>
      <c r="J250" s="9"/>
      <c r="K250" s="9"/>
      <c r="L250" s="9"/>
      <c r="M250" s="9"/>
      <c r="N250" s="9"/>
      <c r="O250" s="9" t="s">
        <v>1244</v>
      </c>
    </row>
    <row r="251" spans="1:15" ht="25.5" x14ac:dyDescent="0.25">
      <c r="A251" s="9">
        <v>249</v>
      </c>
      <c r="B251" s="9" t="s">
        <v>928</v>
      </c>
      <c r="C251" s="9" t="s">
        <v>906</v>
      </c>
      <c r="D251" s="9" t="s">
        <v>41</v>
      </c>
      <c r="E251" s="9" t="s">
        <v>287</v>
      </c>
      <c r="F251" s="18">
        <v>49059</v>
      </c>
      <c r="G251" s="18">
        <v>47269</v>
      </c>
      <c r="H251" s="9">
        <f t="shared" ca="1" si="3"/>
        <v>2786</v>
      </c>
      <c r="I251" s="9" t="s">
        <v>1026</v>
      </c>
      <c r="J251" s="9"/>
      <c r="K251" s="9"/>
      <c r="L251" s="9"/>
      <c r="M251" s="9"/>
      <c r="N251" s="9"/>
      <c r="O251" s="9" t="s">
        <v>1244</v>
      </c>
    </row>
    <row r="252" spans="1:15" ht="25.5" x14ac:dyDescent="0.25">
      <c r="A252" s="9">
        <v>250</v>
      </c>
      <c r="B252" s="9" t="s">
        <v>930</v>
      </c>
      <c r="C252" s="9" t="s">
        <v>906</v>
      </c>
      <c r="D252" s="9" t="s">
        <v>41</v>
      </c>
      <c r="E252" s="9" t="s">
        <v>287</v>
      </c>
      <c r="F252" s="18">
        <v>49059</v>
      </c>
      <c r="G252" s="18">
        <v>47269</v>
      </c>
      <c r="H252" s="9">
        <f t="shared" ca="1" si="3"/>
        <v>2786</v>
      </c>
      <c r="I252" s="9" t="s">
        <v>1026</v>
      </c>
      <c r="J252" s="9"/>
      <c r="K252" s="9"/>
      <c r="L252" s="9"/>
      <c r="M252" s="9"/>
      <c r="N252" s="9"/>
      <c r="O252" s="9" t="s">
        <v>1244</v>
      </c>
    </row>
    <row r="253" spans="1:15" ht="25.5" x14ac:dyDescent="0.25">
      <c r="A253" s="9">
        <v>251</v>
      </c>
      <c r="B253" s="9" t="s">
        <v>932</v>
      </c>
      <c r="C253" s="9" t="s">
        <v>906</v>
      </c>
      <c r="D253" s="9" t="s">
        <v>41</v>
      </c>
      <c r="E253" s="9" t="s">
        <v>287</v>
      </c>
      <c r="F253" s="18">
        <v>49059</v>
      </c>
      <c r="G253" s="18">
        <v>47269</v>
      </c>
      <c r="H253" s="9">
        <f t="shared" ca="1" si="3"/>
        <v>2786</v>
      </c>
      <c r="I253" s="9" t="s">
        <v>1026</v>
      </c>
      <c r="J253" s="9"/>
      <c r="K253" s="9"/>
      <c r="L253" s="9"/>
      <c r="M253" s="9"/>
      <c r="N253" s="9"/>
      <c r="O253" s="9" t="s">
        <v>1244</v>
      </c>
    </row>
    <row r="254" spans="1:15" ht="25.5" x14ac:dyDescent="0.25">
      <c r="A254" s="9">
        <v>252</v>
      </c>
      <c r="B254" s="9" t="s">
        <v>934</v>
      </c>
      <c r="C254" s="9" t="s">
        <v>906</v>
      </c>
      <c r="D254" s="9" t="s">
        <v>41</v>
      </c>
      <c r="E254" s="9" t="s">
        <v>287</v>
      </c>
      <c r="F254" s="18">
        <v>49059</v>
      </c>
      <c r="G254" s="18">
        <v>47269</v>
      </c>
      <c r="H254" s="9">
        <f t="shared" ca="1" si="3"/>
        <v>2786</v>
      </c>
      <c r="I254" s="9" t="s">
        <v>1026</v>
      </c>
      <c r="J254" s="9"/>
      <c r="K254" s="9"/>
      <c r="L254" s="9"/>
      <c r="M254" s="9"/>
      <c r="N254" s="9"/>
      <c r="O254" s="9" t="s">
        <v>1244</v>
      </c>
    </row>
    <row r="255" spans="1:15" ht="25.5" x14ac:dyDescent="0.25">
      <c r="A255" s="9">
        <v>253</v>
      </c>
      <c r="B255" s="9" t="s">
        <v>936</v>
      </c>
      <c r="C255" s="9" t="s">
        <v>906</v>
      </c>
      <c r="D255" s="9" t="s">
        <v>41</v>
      </c>
      <c r="E255" s="9" t="s">
        <v>287</v>
      </c>
      <c r="F255" s="18">
        <v>49059</v>
      </c>
      <c r="G255" s="18">
        <v>47269</v>
      </c>
      <c r="H255" s="9">
        <f t="shared" ca="1" si="3"/>
        <v>2786</v>
      </c>
      <c r="I255" s="9" t="s">
        <v>1026</v>
      </c>
      <c r="J255" s="9"/>
      <c r="K255" s="9"/>
      <c r="L255" s="9"/>
      <c r="M255" s="9"/>
      <c r="N255" s="9"/>
      <c r="O255" s="9" t="s">
        <v>1244</v>
      </c>
    </row>
    <row r="256" spans="1:15" ht="25.5" x14ac:dyDescent="0.25">
      <c r="A256" s="9">
        <v>254</v>
      </c>
      <c r="B256" s="9" t="s">
        <v>938</v>
      </c>
      <c r="C256" s="9" t="s">
        <v>906</v>
      </c>
      <c r="D256" s="9" t="s">
        <v>41</v>
      </c>
      <c r="E256" s="9" t="s">
        <v>287</v>
      </c>
      <c r="F256" s="18">
        <v>49059</v>
      </c>
      <c r="G256" s="18">
        <v>47269</v>
      </c>
      <c r="H256" s="9">
        <f t="shared" ca="1" si="3"/>
        <v>2786</v>
      </c>
      <c r="I256" s="9" t="s">
        <v>1026</v>
      </c>
      <c r="J256" s="9"/>
      <c r="K256" s="9"/>
      <c r="L256" s="9"/>
      <c r="M256" s="9"/>
      <c r="N256" s="9"/>
      <c r="O256" s="9" t="s">
        <v>1244</v>
      </c>
    </row>
    <row r="257" spans="1:15" ht="38.25" x14ac:dyDescent="0.25">
      <c r="A257" s="9">
        <v>255</v>
      </c>
      <c r="B257" s="9" t="s">
        <v>152</v>
      </c>
      <c r="C257" s="9" t="s">
        <v>940</v>
      </c>
      <c r="D257" s="9" t="s">
        <v>41</v>
      </c>
      <c r="E257" s="9" t="s">
        <v>287</v>
      </c>
      <c r="F257" s="18">
        <v>49059</v>
      </c>
      <c r="G257" s="18">
        <v>47269</v>
      </c>
      <c r="H257" s="9">
        <f t="shared" ca="1" si="3"/>
        <v>2786</v>
      </c>
      <c r="I257" s="9" t="s">
        <v>1026</v>
      </c>
      <c r="J257" s="9"/>
      <c r="K257" s="9"/>
      <c r="L257" s="9"/>
      <c r="M257" s="9"/>
      <c r="N257" s="9"/>
      <c r="O257" s="9" t="s">
        <v>1244</v>
      </c>
    </row>
    <row r="258" spans="1:15" x14ac:dyDescent="0.25">
      <c r="A258" s="9">
        <v>256</v>
      </c>
      <c r="B258" s="9" t="s">
        <v>942</v>
      </c>
      <c r="C258" s="9" t="s">
        <v>943</v>
      </c>
      <c r="D258" s="9" t="s">
        <v>41</v>
      </c>
      <c r="E258" s="9" t="s">
        <v>287</v>
      </c>
      <c r="F258" s="18">
        <v>49059</v>
      </c>
      <c r="G258" s="18">
        <v>47269</v>
      </c>
      <c r="H258" s="9">
        <f t="shared" ca="1" si="3"/>
        <v>2786</v>
      </c>
      <c r="I258" s="9" t="s">
        <v>1026</v>
      </c>
      <c r="J258" s="9"/>
      <c r="K258" s="9"/>
      <c r="L258" s="9"/>
      <c r="M258" s="9"/>
      <c r="N258" s="9"/>
      <c r="O258" s="9" t="s">
        <v>1244</v>
      </c>
    </row>
    <row r="259" spans="1:15" ht="25.5" x14ac:dyDescent="0.25">
      <c r="A259" s="9">
        <v>257</v>
      </c>
      <c r="B259" s="9" t="s">
        <v>945</v>
      </c>
      <c r="C259" s="9" t="s">
        <v>946</v>
      </c>
      <c r="D259" s="9" t="s">
        <v>41</v>
      </c>
      <c r="E259" s="9" t="s">
        <v>287</v>
      </c>
      <c r="F259" s="18">
        <v>49059</v>
      </c>
      <c r="G259" s="18">
        <v>47269</v>
      </c>
      <c r="H259" s="9">
        <f t="shared" ref="H259:H322" ca="1" si="4">IF(F259="","",F259-TODAY())</f>
        <v>2786</v>
      </c>
      <c r="I259" s="9" t="s">
        <v>1026</v>
      </c>
      <c r="J259" s="9"/>
      <c r="K259" s="9"/>
      <c r="L259" s="9"/>
      <c r="M259" s="9"/>
      <c r="N259" s="9"/>
      <c r="O259" s="9" t="s">
        <v>1244</v>
      </c>
    </row>
    <row r="260" spans="1:15" x14ac:dyDescent="0.25">
      <c r="A260" s="9">
        <v>258</v>
      </c>
      <c r="B260" s="9" t="s">
        <v>948</v>
      </c>
      <c r="C260" s="9" t="s">
        <v>949</v>
      </c>
      <c r="D260" s="9" t="s">
        <v>41</v>
      </c>
      <c r="E260" s="9" t="s">
        <v>287</v>
      </c>
      <c r="F260" s="18">
        <v>49059</v>
      </c>
      <c r="G260" s="18">
        <v>47269</v>
      </c>
      <c r="H260" s="9">
        <f t="shared" ca="1" si="4"/>
        <v>2786</v>
      </c>
      <c r="I260" s="9" t="s">
        <v>1026</v>
      </c>
      <c r="J260" s="9"/>
      <c r="K260" s="9"/>
      <c r="L260" s="9"/>
      <c r="M260" s="9"/>
      <c r="N260" s="9"/>
      <c r="O260" s="9" t="s">
        <v>1244</v>
      </c>
    </row>
    <row r="261" spans="1:15" ht="25.5" x14ac:dyDescent="0.25">
      <c r="A261" s="9">
        <v>259</v>
      </c>
      <c r="B261" s="9" t="s">
        <v>951</v>
      </c>
      <c r="C261" s="9" t="s">
        <v>952</v>
      </c>
      <c r="D261" s="9" t="s">
        <v>41</v>
      </c>
      <c r="E261" s="9" t="s">
        <v>287</v>
      </c>
      <c r="F261" s="18">
        <v>49059</v>
      </c>
      <c r="G261" s="18">
        <v>47269</v>
      </c>
      <c r="H261" s="9">
        <f t="shared" ca="1" si="4"/>
        <v>2786</v>
      </c>
      <c r="I261" s="9" t="s">
        <v>1026</v>
      </c>
      <c r="J261" s="9"/>
      <c r="K261" s="9"/>
      <c r="L261" s="9"/>
      <c r="M261" s="9"/>
      <c r="N261" s="9"/>
      <c r="O261" s="9" t="s">
        <v>1244</v>
      </c>
    </row>
    <row r="262" spans="1:15" ht="25.5" x14ac:dyDescent="0.25">
      <c r="A262" s="9">
        <v>260</v>
      </c>
      <c r="B262" s="9" t="s">
        <v>955</v>
      </c>
      <c r="C262" s="9" t="s">
        <v>956</v>
      </c>
      <c r="D262" s="9" t="s">
        <v>41</v>
      </c>
      <c r="E262" s="9" t="s">
        <v>287</v>
      </c>
      <c r="F262" s="18">
        <v>49059</v>
      </c>
      <c r="G262" s="18">
        <v>47269</v>
      </c>
      <c r="H262" s="9">
        <f t="shared" ca="1" si="4"/>
        <v>2786</v>
      </c>
      <c r="I262" s="9" t="s">
        <v>1026</v>
      </c>
      <c r="J262" s="9"/>
      <c r="K262" s="9"/>
      <c r="L262" s="9"/>
      <c r="M262" s="9"/>
      <c r="N262" s="9"/>
      <c r="O262" s="9" t="s">
        <v>1244</v>
      </c>
    </row>
    <row r="263" spans="1:15" ht="25.5" x14ac:dyDescent="0.25">
      <c r="A263" s="9">
        <v>261</v>
      </c>
      <c r="B263" s="9" t="s">
        <v>958</v>
      </c>
      <c r="C263" s="9" t="s">
        <v>952</v>
      </c>
      <c r="D263" s="9" t="s">
        <v>41</v>
      </c>
      <c r="E263" s="9" t="s">
        <v>287</v>
      </c>
      <c r="F263" s="18">
        <v>49059</v>
      </c>
      <c r="G263" s="18">
        <v>47269</v>
      </c>
      <c r="H263" s="9">
        <f t="shared" ca="1" si="4"/>
        <v>2786</v>
      </c>
      <c r="I263" s="9" t="s">
        <v>1026</v>
      </c>
      <c r="J263" s="9"/>
      <c r="K263" s="9"/>
      <c r="L263" s="9"/>
      <c r="M263" s="9"/>
      <c r="N263" s="9"/>
      <c r="O263" s="9" t="s">
        <v>1244</v>
      </c>
    </row>
    <row r="264" spans="1:15" ht="25.5" x14ac:dyDescent="0.25">
      <c r="A264" s="9">
        <v>262</v>
      </c>
      <c r="B264" s="9" t="s">
        <v>960</v>
      </c>
      <c r="C264" s="9" t="s">
        <v>952</v>
      </c>
      <c r="D264" s="9" t="s">
        <v>41</v>
      </c>
      <c r="E264" s="9" t="s">
        <v>287</v>
      </c>
      <c r="F264" s="18">
        <v>49059</v>
      </c>
      <c r="G264" s="18">
        <v>47269</v>
      </c>
      <c r="H264" s="9">
        <f t="shared" ca="1" si="4"/>
        <v>2786</v>
      </c>
      <c r="I264" s="9" t="s">
        <v>1026</v>
      </c>
      <c r="J264" s="9"/>
      <c r="K264" s="9"/>
      <c r="L264" s="9"/>
      <c r="M264" s="9"/>
      <c r="N264" s="9"/>
      <c r="O264" s="9" t="s">
        <v>1244</v>
      </c>
    </row>
    <row r="265" spans="1:15" ht="25.5" x14ac:dyDescent="0.25">
      <c r="A265" s="9">
        <v>263</v>
      </c>
      <c r="B265" s="9" t="s">
        <v>962</v>
      </c>
      <c r="C265" s="9" t="s">
        <v>952</v>
      </c>
      <c r="D265" s="9" t="s">
        <v>41</v>
      </c>
      <c r="E265" s="9" t="s">
        <v>287</v>
      </c>
      <c r="F265" s="18">
        <v>49059</v>
      </c>
      <c r="G265" s="18">
        <v>47269</v>
      </c>
      <c r="H265" s="9">
        <f t="shared" ca="1" si="4"/>
        <v>2786</v>
      </c>
      <c r="I265" s="9" t="s">
        <v>1026</v>
      </c>
      <c r="J265" s="9"/>
      <c r="K265" s="9"/>
      <c r="L265" s="9"/>
      <c r="M265" s="9"/>
      <c r="N265" s="9"/>
      <c r="O265" s="9" t="s">
        <v>1244</v>
      </c>
    </row>
    <row r="266" spans="1:15" ht="25.5" x14ac:dyDescent="0.25">
      <c r="A266" s="9">
        <v>264</v>
      </c>
      <c r="B266" s="9" t="s">
        <v>964</v>
      </c>
      <c r="C266" s="9" t="s">
        <v>952</v>
      </c>
      <c r="D266" s="9" t="s">
        <v>41</v>
      </c>
      <c r="E266" s="9" t="s">
        <v>287</v>
      </c>
      <c r="F266" s="18">
        <v>49059</v>
      </c>
      <c r="G266" s="18">
        <v>47269</v>
      </c>
      <c r="H266" s="9">
        <f t="shared" ca="1" si="4"/>
        <v>2786</v>
      </c>
      <c r="I266" s="9" t="s">
        <v>1026</v>
      </c>
      <c r="J266" s="9"/>
      <c r="K266" s="9"/>
      <c r="L266" s="9"/>
      <c r="M266" s="9"/>
      <c r="N266" s="9"/>
      <c r="O266" s="9" t="s">
        <v>1244</v>
      </c>
    </row>
    <row r="267" spans="1:15" ht="25.5" x14ac:dyDescent="0.25">
      <c r="A267" s="9">
        <v>265</v>
      </c>
      <c r="B267" s="9" t="s">
        <v>966</v>
      </c>
      <c r="C267" s="9" t="s">
        <v>952</v>
      </c>
      <c r="D267" s="9" t="s">
        <v>41</v>
      </c>
      <c r="E267" s="9" t="s">
        <v>287</v>
      </c>
      <c r="F267" s="18">
        <v>49059</v>
      </c>
      <c r="G267" s="18">
        <v>47269</v>
      </c>
      <c r="H267" s="9">
        <f t="shared" ca="1" si="4"/>
        <v>2786</v>
      </c>
      <c r="I267" s="9" t="s">
        <v>1026</v>
      </c>
      <c r="J267" s="9"/>
      <c r="K267" s="9"/>
      <c r="L267" s="9"/>
      <c r="M267" s="9"/>
      <c r="N267" s="9"/>
      <c r="O267" s="9" t="s">
        <v>1244</v>
      </c>
    </row>
    <row r="268" spans="1:15" ht="25.5" x14ac:dyDescent="0.25">
      <c r="A268" s="9">
        <v>266</v>
      </c>
      <c r="B268" s="9" t="s">
        <v>968</v>
      </c>
      <c r="C268" s="9" t="s">
        <v>969</v>
      </c>
      <c r="D268" s="9" t="s">
        <v>41</v>
      </c>
      <c r="E268" s="9" t="s">
        <v>287</v>
      </c>
      <c r="F268" s="18">
        <v>49059</v>
      </c>
      <c r="G268" s="18">
        <v>47269</v>
      </c>
      <c r="H268" s="9">
        <f t="shared" ca="1" si="4"/>
        <v>2786</v>
      </c>
      <c r="I268" s="9" t="s">
        <v>1026</v>
      </c>
      <c r="J268" s="9"/>
      <c r="K268" s="9"/>
      <c r="L268" s="9"/>
      <c r="M268" s="9"/>
      <c r="N268" s="9"/>
      <c r="O268" s="9" t="s">
        <v>1244</v>
      </c>
    </row>
    <row r="269" spans="1:15" ht="25.5" x14ac:dyDescent="0.25">
      <c r="A269" s="9">
        <v>267</v>
      </c>
      <c r="B269" s="9" t="s">
        <v>971</v>
      </c>
      <c r="C269" s="9" t="s">
        <v>969</v>
      </c>
      <c r="D269" s="9" t="s">
        <v>41</v>
      </c>
      <c r="E269" s="9" t="s">
        <v>287</v>
      </c>
      <c r="F269" s="18">
        <v>49059</v>
      </c>
      <c r="G269" s="18">
        <v>47269</v>
      </c>
      <c r="H269" s="9">
        <f t="shared" ca="1" si="4"/>
        <v>2786</v>
      </c>
      <c r="I269" s="9" t="s">
        <v>1026</v>
      </c>
      <c r="J269" s="9"/>
      <c r="K269" s="9"/>
      <c r="L269" s="9"/>
      <c r="M269" s="9"/>
      <c r="N269" s="9"/>
      <c r="O269" s="9" t="s">
        <v>1244</v>
      </c>
    </row>
    <row r="270" spans="1:15" ht="25.5" x14ac:dyDescent="0.25">
      <c r="A270" s="9">
        <v>268</v>
      </c>
      <c r="B270" s="9" t="s">
        <v>973</v>
      </c>
      <c r="C270" s="9" t="s">
        <v>974</v>
      </c>
      <c r="D270" s="9" t="s">
        <v>41</v>
      </c>
      <c r="E270" s="9" t="s">
        <v>287</v>
      </c>
      <c r="F270" s="18">
        <v>49059</v>
      </c>
      <c r="G270" s="18">
        <v>47269</v>
      </c>
      <c r="H270" s="9">
        <f t="shared" ca="1" si="4"/>
        <v>2786</v>
      </c>
      <c r="I270" s="9" t="s">
        <v>1026</v>
      </c>
      <c r="J270" s="9"/>
      <c r="K270" s="9"/>
      <c r="L270" s="9"/>
      <c r="M270" s="9"/>
      <c r="N270" s="9"/>
      <c r="O270" s="9" t="s">
        <v>1244</v>
      </c>
    </row>
    <row r="271" spans="1:15" x14ac:dyDescent="0.25">
      <c r="A271" s="9">
        <v>269</v>
      </c>
      <c r="B271" s="9" t="s">
        <v>977</v>
      </c>
      <c r="C271" s="9" t="s">
        <v>978</v>
      </c>
      <c r="D271" s="9" t="s">
        <v>41</v>
      </c>
      <c r="E271" s="9" t="s">
        <v>287</v>
      </c>
      <c r="F271" s="18">
        <v>49059</v>
      </c>
      <c r="G271" s="18">
        <v>47269</v>
      </c>
      <c r="H271" s="9">
        <f t="shared" ca="1" si="4"/>
        <v>2786</v>
      </c>
      <c r="I271" s="9" t="s">
        <v>1026</v>
      </c>
      <c r="J271" s="9"/>
      <c r="K271" s="9"/>
      <c r="L271" s="9"/>
      <c r="M271" s="9"/>
      <c r="N271" s="9"/>
      <c r="O271" s="9" t="s">
        <v>1244</v>
      </c>
    </row>
    <row r="272" spans="1:15" x14ac:dyDescent="0.25">
      <c r="A272" s="9">
        <v>270</v>
      </c>
      <c r="B272" s="9" t="s">
        <v>980</v>
      </c>
      <c r="C272" s="9" t="s">
        <v>981</v>
      </c>
      <c r="D272" s="9" t="s">
        <v>41</v>
      </c>
      <c r="E272" s="9" t="s">
        <v>287</v>
      </c>
      <c r="F272" s="18">
        <v>49059</v>
      </c>
      <c r="G272" s="18">
        <v>47269</v>
      </c>
      <c r="H272" s="9">
        <f t="shared" ca="1" si="4"/>
        <v>2786</v>
      </c>
      <c r="I272" s="9" t="s">
        <v>1026</v>
      </c>
      <c r="J272" s="9"/>
      <c r="K272" s="9"/>
      <c r="L272" s="9"/>
      <c r="M272" s="9"/>
      <c r="N272" s="9"/>
      <c r="O272" s="9" t="s">
        <v>1244</v>
      </c>
    </row>
    <row r="273" spans="1:15" x14ac:dyDescent="0.25">
      <c r="A273" s="9">
        <v>271</v>
      </c>
      <c r="B273" s="9" t="s">
        <v>983</v>
      </c>
      <c r="C273" s="9" t="s">
        <v>984</v>
      </c>
      <c r="D273" s="9" t="s">
        <v>41</v>
      </c>
      <c r="E273" s="9" t="s">
        <v>287</v>
      </c>
      <c r="F273" s="18">
        <v>49059</v>
      </c>
      <c r="G273" s="18">
        <v>47269</v>
      </c>
      <c r="H273" s="9">
        <f t="shared" ca="1" si="4"/>
        <v>2786</v>
      </c>
      <c r="I273" s="9" t="s">
        <v>1026</v>
      </c>
      <c r="J273" s="9"/>
      <c r="K273" s="9"/>
      <c r="L273" s="9"/>
      <c r="M273" s="9"/>
      <c r="N273" s="9"/>
      <c r="O273" s="9" t="s">
        <v>1244</v>
      </c>
    </row>
    <row r="274" spans="1:15" ht="38.25" x14ac:dyDescent="0.25">
      <c r="A274" s="9">
        <v>272</v>
      </c>
      <c r="B274" s="9" t="s">
        <v>986</v>
      </c>
      <c r="C274" s="9" t="s">
        <v>987</v>
      </c>
      <c r="D274" s="9" t="s">
        <v>41</v>
      </c>
      <c r="E274" s="9" t="s">
        <v>287</v>
      </c>
      <c r="F274" s="18">
        <v>49059</v>
      </c>
      <c r="G274" s="18">
        <v>47269</v>
      </c>
      <c r="H274" s="9">
        <f t="shared" ca="1" si="4"/>
        <v>2786</v>
      </c>
      <c r="I274" s="9" t="s">
        <v>1026</v>
      </c>
      <c r="J274" s="9"/>
      <c r="K274" s="9"/>
      <c r="L274" s="9"/>
      <c r="M274" s="9"/>
      <c r="N274" s="9"/>
      <c r="O274" s="9" t="s">
        <v>1244</v>
      </c>
    </row>
    <row r="275" spans="1:15" ht="25.5" x14ac:dyDescent="0.25">
      <c r="A275" s="9">
        <v>273</v>
      </c>
      <c r="B275" s="9" t="s">
        <v>989</v>
      </c>
      <c r="C275" s="9" t="s">
        <v>990</v>
      </c>
      <c r="D275" s="9" t="s">
        <v>41</v>
      </c>
      <c r="E275" s="9" t="s">
        <v>287</v>
      </c>
      <c r="F275" s="18">
        <v>49059</v>
      </c>
      <c r="G275" s="18">
        <v>47269</v>
      </c>
      <c r="H275" s="9">
        <f t="shared" ca="1" si="4"/>
        <v>2786</v>
      </c>
      <c r="I275" s="9" t="s">
        <v>1026</v>
      </c>
      <c r="J275" s="9"/>
      <c r="K275" s="9"/>
      <c r="L275" s="9"/>
      <c r="M275" s="9"/>
      <c r="N275" s="9"/>
      <c r="O275" s="9" t="s">
        <v>1244</v>
      </c>
    </row>
    <row r="276" spans="1:15" x14ac:dyDescent="0.25">
      <c r="A276" s="9"/>
      <c r="B276" s="9"/>
      <c r="C276" s="9"/>
      <c r="D276" s="9"/>
      <c r="E276" s="9"/>
      <c r="F276" s="9"/>
      <c r="G276" s="9"/>
      <c r="H276" s="9" t="str">
        <f t="shared" ca="1" si="4"/>
        <v/>
      </c>
      <c r="I276" s="9"/>
      <c r="J276" s="9"/>
      <c r="K276" s="9"/>
      <c r="L276" s="9"/>
      <c r="M276" s="9"/>
      <c r="N276" s="9"/>
      <c r="O276" s="9"/>
    </row>
    <row r="277" spans="1:15" x14ac:dyDescent="0.25">
      <c r="A277" s="9"/>
      <c r="B277" s="9"/>
      <c r="C277" s="9"/>
      <c r="D277" s="9"/>
      <c r="E277" s="9"/>
      <c r="F277" s="9"/>
      <c r="G277" s="9"/>
      <c r="H277" s="9" t="str">
        <f t="shared" ca="1" si="4"/>
        <v/>
      </c>
      <c r="I277" s="9"/>
      <c r="J277" s="9"/>
      <c r="K277" s="9"/>
      <c r="L277" s="9"/>
      <c r="M277" s="9"/>
      <c r="N277" s="9"/>
      <c r="O277" s="9"/>
    </row>
    <row r="278" spans="1:15" x14ac:dyDescent="0.25">
      <c r="A278" s="9"/>
      <c r="B278" s="9"/>
      <c r="C278" s="9"/>
      <c r="D278" s="9"/>
      <c r="E278" s="9"/>
      <c r="F278" s="9"/>
      <c r="G278" s="9"/>
      <c r="H278" s="9" t="str">
        <f t="shared" ca="1" si="4"/>
        <v/>
      </c>
      <c r="I278" s="9"/>
      <c r="J278" s="9"/>
      <c r="K278" s="9"/>
      <c r="L278" s="9"/>
      <c r="M278" s="9"/>
      <c r="N278" s="9"/>
      <c r="O278" s="9"/>
    </row>
    <row r="279" spans="1:15" x14ac:dyDescent="0.25">
      <c r="A279" s="9"/>
      <c r="B279" s="9"/>
      <c r="C279" s="9"/>
      <c r="D279" s="9"/>
      <c r="E279" s="9"/>
      <c r="F279" s="9"/>
      <c r="G279" s="9"/>
      <c r="H279" s="9" t="str">
        <f t="shared" ca="1" si="4"/>
        <v/>
      </c>
      <c r="I279" s="9"/>
      <c r="J279" s="9"/>
      <c r="K279" s="9"/>
      <c r="L279" s="9"/>
      <c r="M279" s="9"/>
      <c r="N279" s="9"/>
      <c r="O279" s="9"/>
    </row>
    <row r="280" spans="1:15" x14ac:dyDescent="0.25">
      <c r="A280" s="9"/>
      <c r="B280" s="9"/>
      <c r="C280" s="9"/>
      <c r="D280" s="9"/>
      <c r="E280" s="9"/>
      <c r="F280" s="9"/>
      <c r="G280" s="9"/>
      <c r="H280" s="9" t="str">
        <f t="shared" ca="1" si="4"/>
        <v/>
      </c>
      <c r="I280" s="9"/>
      <c r="J280" s="9"/>
      <c r="K280" s="9"/>
      <c r="L280" s="9"/>
      <c r="M280" s="9"/>
      <c r="N280" s="9"/>
      <c r="O280" s="9"/>
    </row>
    <row r="281" spans="1:15" x14ac:dyDescent="0.25">
      <c r="A281" s="9"/>
      <c r="B281" s="9"/>
      <c r="C281" s="9"/>
      <c r="D281" s="9"/>
      <c r="E281" s="9"/>
      <c r="F281" s="9"/>
      <c r="G281" s="9"/>
      <c r="H281" s="9" t="str">
        <f t="shared" ca="1" si="4"/>
        <v/>
      </c>
      <c r="I281" s="9"/>
      <c r="J281" s="9"/>
      <c r="K281" s="9"/>
      <c r="L281" s="9"/>
      <c r="M281" s="9"/>
      <c r="N281" s="9"/>
      <c r="O281" s="9"/>
    </row>
    <row r="282" spans="1:15" x14ac:dyDescent="0.25">
      <c r="A282" s="9"/>
      <c r="B282" s="9"/>
      <c r="C282" s="9"/>
      <c r="D282" s="9"/>
      <c r="E282" s="9"/>
      <c r="F282" s="9"/>
      <c r="G282" s="9"/>
      <c r="H282" s="9" t="str">
        <f t="shared" ca="1" si="4"/>
        <v/>
      </c>
      <c r="I282" s="9"/>
      <c r="J282" s="9"/>
      <c r="K282" s="9"/>
      <c r="L282" s="9"/>
      <c r="M282" s="9"/>
      <c r="N282" s="9"/>
      <c r="O282" s="9"/>
    </row>
    <row r="283" spans="1:15" x14ac:dyDescent="0.25">
      <c r="A283" s="9"/>
      <c r="B283" s="9"/>
      <c r="C283" s="9"/>
      <c r="D283" s="9"/>
      <c r="E283" s="9"/>
      <c r="F283" s="9"/>
      <c r="G283" s="9"/>
      <c r="H283" s="9" t="str">
        <f t="shared" ca="1" si="4"/>
        <v/>
      </c>
      <c r="I283" s="9"/>
      <c r="J283" s="9"/>
      <c r="K283" s="9"/>
      <c r="L283" s="9"/>
      <c r="M283" s="9"/>
      <c r="N283" s="9"/>
      <c r="O283" s="9"/>
    </row>
    <row r="284" spans="1:15" x14ac:dyDescent="0.25">
      <c r="A284" s="9"/>
      <c r="B284" s="9"/>
      <c r="C284" s="9"/>
      <c r="D284" s="9"/>
      <c r="E284" s="9"/>
      <c r="F284" s="9"/>
      <c r="G284" s="9"/>
      <c r="H284" s="9" t="str">
        <f t="shared" ca="1" si="4"/>
        <v/>
      </c>
      <c r="I284" s="9"/>
      <c r="J284" s="9"/>
      <c r="K284" s="9"/>
      <c r="L284" s="9"/>
      <c r="M284" s="9"/>
      <c r="N284" s="9"/>
      <c r="O284" s="9"/>
    </row>
    <row r="285" spans="1:15" x14ac:dyDescent="0.25">
      <c r="A285" s="9"/>
      <c r="B285" s="9"/>
      <c r="C285" s="9"/>
      <c r="D285" s="9"/>
      <c r="E285" s="9"/>
      <c r="F285" s="9"/>
      <c r="G285" s="9"/>
      <c r="H285" s="9" t="str">
        <f t="shared" ca="1" si="4"/>
        <v/>
      </c>
      <c r="I285" s="9"/>
      <c r="J285" s="9"/>
      <c r="K285" s="9"/>
      <c r="L285" s="9"/>
      <c r="M285" s="9"/>
      <c r="N285" s="9"/>
      <c r="O285" s="9"/>
    </row>
    <row r="286" spans="1:15" x14ac:dyDescent="0.25">
      <c r="A286" s="9"/>
      <c r="B286" s="9"/>
      <c r="C286" s="9"/>
      <c r="D286" s="9"/>
      <c r="E286" s="9"/>
      <c r="F286" s="9"/>
      <c r="G286" s="9"/>
      <c r="H286" s="9" t="str">
        <f t="shared" ca="1" si="4"/>
        <v/>
      </c>
      <c r="I286" s="9"/>
      <c r="J286" s="9"/>
      <c r="K286" s="9"/>
      <c r="L286" s="9"/>
      <c r="M286" s="9"/>
      <c r="N286" s="9"/>
      <c r="O286" s="9"/>
    </row>
    <row r="287" spans="1:15" x14ac:dyDescent="0.25">
      <c r="A287" s="9"/>
      <c r="B287" s="9"/>
      <c r="C287" s="9"/>
      <c r="D287" s="9"/>
      <c r="E287" s="9"/>
      <c r="F287" s="9"/>
      <c r="G287" s="9"/>
      <c r="H287" s="9" t="str">
        <f t="shared" ca="1" si="4"/>
        <v/>
      </c>
      <c r="I287" s="9"/>
      <c r="J287" s="9"/>
      <c r="K287" s="9"/>
      <c r="L287" s="9"/>
      <c r="M287" s="9"/>
      <c r="N287" s="9"/>
      <c r="O287" s="9"/>
    </row>
    <row r="288" spans="1:15" x14ac:dyDescent="0.25">
      <c r="A288" s="9"/>
      <c r="B288" s="9"/>
      <c r="C288" s="9"/>
      <c r="D288" s="9"/>
      <c r="E288" s="9"/>
      <c r="F288" s="9"/>
      <c r="G288" s="9"/>
      <c r="H288" s="9" t="str">
        <f t="shared" ca="1" si="4"/>
        <v/>
      </c>
      <c r="I288" s="9"/>
      <c r="J288" s="9"/>
      <c r="K288" s="9"/>
      <c r="L288" s="9"/>
      <c r="M288" s="9"/>
      <c r="N288" s="9"/>
      <c r="O288" s="9"/>
    </row>
    <row r="289" spans="1:15" x14ac:dyDescent="0.25">
      <c r="A289" s="9"/>
      <c r="B289" s="9"/>
      <c r="C289" s="9"/>
      <c r="D289" s="9"/>
      <c r="E289" s="9"/>
      <c r="F289" s="9"/>
      <c r="G289" s="9"/>
      <c r="H289" s="9" t="str">
        <f t="shared" ca="1" si="4"/>
        <v/>
      </c>
      <c r="I289" s="9"/>
      <c r="J289" s="9"/>
      <c r="K289" s="9"/>
      <c r="L289" s="9"/>
      <c r="M289" s="9"/>
      <c r="N289" s="9"/>
      <c r="O289" s="9"/>
    </row>
    <row r="290" spans="1:15" x14ac:dyDescent="0.25">
      <c r="A290" s="9"/>
      <c r="B290" s="9"/>
      <c r="C290" s="9"/>
      <c r="D290" s="9"/>
      <c r="E290" s="9"/>
      <c r="F290" s="9"/>
      <c r="G290" s="9"/>
      <c r="H290" s="9" t="str">
        <f t="shared" ca="1" si="4"/>
        <v/>
      </c>
      <c r="I290" s="9"/>
      <c r="J290" s="9"/>
      <c r="K290" s="9"/>
      <c r="L290" s="9"/>
      <c r="M290" s="9"/>
      <c r="N290" s="9"/>
      <c r="O290" s="9"/>
    </row>
    <row r="291" spans="1:15" x14ac:dyDescent="0.25">
      <c r="A291" s="9"/>
      <c r="B291" s="9"/>
      <c r="C291" s="9"/>
      <c r="D291" s="9"/>
      <c r="E291" s="9"/>
      <c r="F291" s="9"/>
      <c r="G291" s="9"/>
      <c r="H291" s="9" t="str">
        <f t="shared" ca="1" si="4"/>
        <v/>
      </c>
      <c r="I291" s="9"/>
      <c r="J291" s="9"/>
      <c r="K291" s="9"/>
      <c r="L291" s="9"/>
      <c r="M291" s="9"/>
      <c r="N291" s="9"/>
      <c r="O291" s="9"/>
    </row>
    <row r="292" spans="1:15" x14ac:dyDescent="0.25">
      <c r="A292" s="9"/>
      <c r="B292" s="9"/>
      <c r="C292" s="9"/>
      <c r="D292" s="9"/>
      <c r="E292" s="9"/>
      <c r="F292" s="9"/>
      <c r="G292" s="9"/>
      <c r="H292" s="9" t="str">
        <f t="shared" ca="1" si="4"/>
        <v/>
      </c>
      <c r="I292" s="9"/>
      <c r="J292" s="9"/>
      <c r="K292" s="9"/>
      <c r="L292" s="9"/>
      <c r="M292" s="9"/>
      <c r="N292" s="9"/>
      <c r="O292" s="9"/>
    </row>
    <row r="293" spans="1:15" x14ac:dyDescent="0.25">
      <c r="A293" s="9"/>
      <c r="B293" s="9"/>
      <c r="C293" s="9"/>
      <c r="D293" s="9"/>
      <c r="E293" s="9"/>
      <c r="F293" s="9"/>
      <c r="G293" s="9"/>
      <c r="H293" s="9" t="str">
        <f t="shared" ca="1" si="4"/>
        <v/>
      </c>
      <c r="I293" s="9"/>
      <c r="J293" s="9"/>
      <c r="K293" s="9"/>
      <c r="L293" s="9"/>
      <c r="M293" s="9"/>
      <c r="N293" s="9"/>
      <c r="O293" s="9"/>
    </row>
    <row r="294" spans="1:15" x14ac:dyDescent="0.25">
      <c r="A294" s="9"/>
      <c r="B294" s="9"/>
      <c r="C294" s="9"/>
      <c r="D294" s="9"/>
      <c r="E294" s="9"/>
      <c r="F294" s="9"/>
      <c r="G294" s="9"/>
      <c r="H294" s="9" t="str">
        <f t="shared" ca="1" si="4"/>
        <v/>
      </c>
      <c r="I294" s="9"/>
      <c r="J294" s="9"/>
      <c r="K294" s="9"/>
      <c r="L294" s="9"/>
      <c r="M294" s="9"/>
      <c r="N294" s="9"/>
      <c r="O294" s="9"/>
    </row>
    <row r="295" spans="1:15" x14ac:dyDescent="0.25">
      <c r="A295" s="9"/>
      <c r="B295" s="9"/>
      <c r="C295" s="9"/>
      <c r="D295" s="9"/>
      <c r="E295" s="9"/>
      <c r="F295" s="9"/>
      <c r="G295" s="9"/>
      <c r="H295" s="9" t="str">
        <f t="shared" ca="1" si="4"/>
        <v/>
      </c>
      <c r="I295" s="9"/>
      <c r="J295" s="9"/>
      <c r="K295" s="9"/>
      <c r="L295" s="9"/>
      <c r="M295" s="9"/>
      <c r="N295" s="9"/>
      <c r="O295" s="9"/>
    </row>
    <row r="296" spans="1:15" x14ac:dyDescent="0.25">
      <c r="A296" s="9"/>
      <c r="B296" s="9"/>
      <c r="C296" s="9"/>
      <c r="D296" s="9"/>
      <c r="E296" s="9"/>
      <c r="F296" s="9"/>
      <c r="G296" s="9"/>
      <c r="H296" s="9" t="str">
        <f t="shared" ca="1" si="4"/>
        <v/>
      </c>
      <c r="I296" s="9"/>
      <c r="J296" s="9"/>
      <c r="K296" s="9"/>
      <c r="L296" s="9"/>
      <c r="M296" s="9"/>
      <c r="N296" s="9"/>
      <c r="O296" s="9"/>
    </row>
    <row r="297" spans="1:15" x14ac:dyDescent="0.25">
      <c r="A297" s="9"/>
      <c r="B297" s="9"/>
      <c r="C297" s="9"/>
      <c r="D297" s="9"/>
      <c r="E297" s="9"/>
      <c r="F297" s="9"/>
      <c r="G297" s="9"/>
      <c r="H297" s="9" t="str">
        <f t="shared" ca="1" si="4"/>
        <v/>
      </c>
      <c r="I297" s="9"/>
      <c r="J297" s="9"/>
      <c r="K297" s="9"/>
      <c r="L297" s="9"/>
      <c r="M297" s="9"/>
      <c r="N297" s="9"/>
      <c r="O297" s="9"/>
    </row>
    <row r="298" spans="1:15" x14ac:dyDescent="0.25">
      <c r="A298" s="9"/>
      <c r="B298" s="9"/>
      <c r="C298" s="9"/>
      <c r="D298" s="9"/>
      <c r="E298" s="9"/>
      <c r="F298" s="9"/>
      <c r="G298" s="9"/>
      <c r="H298" s="9" t="str">
        <f t="shared" ca="1" si="4"/>
        <v/>
      </c>
      <c r="I298" s="9"/>
      <c r="J298" s="9"/>
      <c r="K298" s="9"/>
      <c r="L298" s="9"/>
      <c r="M298" s="9"/>
      <c r="N298" s="9"/>
      <c r="O298" s="9"/>
    </row>
    <row r="299" spans="1:15" x14ac:dyDescent="0.25">
      <c r="A299" s="9"/>
      <c r="B299" s="9"/>
      <c r="C299" s="9"/>
      <c r="D299" s="9"/>
      <c r="E299" s="9"/>
      <c r="F299" s="9"/>
      <c r="G299" s="9"/>
      <c r="H299" s="9" t="str">
        <f t="shared" ca="1" si="4"/>
        <v/>
      </c>
      <c r="I299" s="9"/>
      <c r="J299" s="9"/>
      <c r="K299" s="9"/>
      <c r="L299" s="9"/>
      <c r="M299" s="9"/>
      <c r="N299" s="9"/>
      <c r="O299" s="9"/>
    </row>
    <row r="300" spans="1:15" x14ac:dyDescent="0.25">
      <c r="A300" s="9"/>
      <c r="B300" s="9"/>
      <c r="C300" s="9"/>
      <c r="D300" s="9"/>
      <c r="E300" s="9"/>
      <c r="F300" s="9"/>
      <c r="G300" s="9"/>
      <c r="H300" s="9" t="str">
        <f t="shared" ca="1" si="4"/>
        <v/>
      </c>
      <c r="I300" s="9"/>
      <c r="J300" s="9"/>
      <c r="K300" s="9"/>
      <c r="L300" s="9"/>
      <c r="M300" s="9"/>
      <c r="N300" s="9"/>
      <c r="O300" s="9"/>
    </row>
    <row r="301" spans="1:15" x14ac:dyDescent="0.25">
      <c r="A301" s="9"/>
      <c r="B301" s="9"/>
      <c r="C301" s="9"/>
      <c r="D301" s="9"/>
      <c r="E301" s="9"/>
      <c r="F301" s="9"/>
      <c r="G301" s="9"/>
      <c r="H301" s="9" t="str">
        <f t="shared" ca="1" si="4"/>
        <v/>
      </c>
      <c r="I301" s="9"/>
      <c r="J301" s="9"/>
      <c r="K301" s="9"/>
      <c r="L301" s="9"/>
      <c r="M301" s="9"/>
      <c r="N301" s="9"/>
      <c r="O301" s="9"/>
    </row>
    <row r="302" spans="1:15" x14ac:dyDescent="0.25">
      <c r="A302" s="9"/>
      <c r="B302" s="9"/>
      <c r="C302" s="9"/>
      <c r="D302" s="9"/>
      <c r="E302" s="9"/>
      <c r="F302" s="9"/>
      <c r="G302" s="9"/>
      <c r="H302" s="9" t="str">
        <f t="shared" ca="1" si="4"/>
        <v/>
      </c>
      <c r="I302" s="9"/>
      <c r="J302" s="9"/>
      <c r="K302" s="9"/>
      <c r="L302" s="9"/>
      <c r="M302" s="9"/>
      <c r="N302" s="9"/>
      <c r="O302" s="9"/>
    </row>
    <row r="303" spans="1:15" x14ac:dyDescent="0.25">
      <c r="A303" s="9"/>
      <c r="B303" s="9"/>
      <c r="C303" s="9"/>
      <c r="D303" s="9"/>
      <c r="E303" s="9"/>
      <c r="F303" s="9"/>
      <c r="G303" s="9"/>
      <c r="H303" s="9" t="str">
        <f t="shared" ca="1" si="4"/>
        <v/>
      </c>
      <c r="I303" s="9"/>
      <c r="J303" s="9"/>
      <c r="K303" s="9"/>
      <c r="L303" s="9"/>
      <c r="M303" s="9"/>
      <c r="N303" s="9"/>
      <c r="O303" s="9"/>
    </row>
    <row r="304" spans="1:15" x14ac:dyDescent="0.25">
      <c r="A304" s="9"/>
      <c r="B304" s="9"/>
      <c r="C304" s="9"/>
      <c r="D304" s="9"/>
      <c r="E304" s="9"/>
      <c r="F304" s="9"/>
      <c r="G304" s="9"/>
      <c r="H304" s="9" t="str">
        <f t="shared" ca="1" si="4"/>
        <v/>
      </c>
      <c r="I304" s="9"/>
      <c r="J304" s="9"/>
      <c r="K304" s="9"/>
      <c r="L304" s="9"/>
      <c r="M304" s="9"/>
      <c r="N304" s="9"/>
      <c r="O304" s="9"/>
    </row>
    <row r="305" spans="1:15" x14ac:dyDescent="0.25">
      <c r="A305" s="9"/>
      <c r="B305" s="9"/>
      <c r="C305" s="9"/>
      <c r="D305" s="9"/>
      <c r="E305" s="9"/>
      <c r="F305" s="9"/>
      <c r="G305" s="9"/>
      <c r="H305" s="9" t="str">
        <f t="shared" ca="1" si="4"/>
        <v/>
      </c>
      <c r="I305" s="9"/>
      <c r="J305" s="9"/>
      <c r="K305" s="9"/>
      <c r="L305" s="9"/>
      <c r="M305" s="9"/>
      <c r="N305" s="9"/>
      <c r="O305" s="9"/>
    </row>
    <row r="306" spans="1:15" x14ac:dyDescent="0.25">
      <c r="A306" s="9"/>
      <c r="B306" s="9"/>
      <c r="C306" s="9"/>
      <c r="D306" s="9"/>
      <c r="E306" s="9"/>
      <c r="F306" s="9"/>
      <c r="G306" s="9"/>
      <c r="H306" s="9" t="str">
        <f t="shared" ca="1" si="4"/>
        <v/>
      </c>
      <c r="I306" s="9"/>
      <c r="J306" s="9"/>
      <c r="K306" s="9"/>
      <c r="L306" s="9"/>
      <c r="M306" s="9"/>
      <c r="N306" s="9"/>
      <c r="O306" s="9"/>
    </row>
    <row r="307" spans="1:15" x14ac:dyDescent="0.25">
      <c r="A307" s="9"/>
      <c r="B307" s="9"/>
      <c r="C307" s="9"/>
      <c r="D307" s="9"/>
      <c r="E307" s="9"/>
      <c r="F307" s="9"/>
      <c r="G307" s="9"/>
      <c r="H307" s="9" t="str">
        <f t="shared" ca="1" si="4"/>
        <v/>
      </c>
      <c r="I307" s="9"/>
      <c r="J307" s="9"/>
      <c r="K307" s="9"/>
      <c r="L307" s="9"/>
      <c r="M307" s="9"/>
      <c r="N307" s="9"/>
      <c r="O307" s="9"/>
    </row>
    <row r="308" spans="1:15" x14ac:dyDescent="0.25">
      <c r="A308" s="9"/>
      <c r="B308" s="9"/>
      <c r="C308" s="9"/>
      <c r="D308" s="9"/>
      <c r="E308" s="9"/>
      <c r="F308" s="9"/>
      <c r="G308" s="9"/>
      <c r="H308" s="9" t="str">
        <f t="shared" ca="1" si="4"/>
        <v/>
      </c>
      <c r="I308" s="9"/>
      <c r="J308" s="9"/>
      <c r="K308" s="9"/>
      <c r="L308" s="9"/>
      <c r="M308" s="9"/>
      <c r="N308" s="9"/>
      <c r="O308" s="9"/>
    </row>
    <row r="309" spans="1:15" x14ac:dyDescent="0.25">
      <c r="A309" s="9"/>
      <c r="B309" s="9"/>
      <c r="C309" s="9"/>
      <c r="D309" s="9"/>
      <c r="E309" s="9"/>
      <c r="F309" s="9"/>
      <c r="G309" s="9"/>
      <c r="H309" s="9" t="str">
        <f t="shared" ca="1" si="4"/>
        <v/>
      </c>
      <c r="I309" s="9"/>
      <c r="J309" s="9"/>
      <c r="K309" s="9"/>
      <c r="L309" s="9"/>
      <c r="M309" s="9"/>
      <c r="N309" s="9"/>
      <c r="O309" s="9"/>
    </row>
    <row r="310" spans="1:15" x14ac:dyDescent="0.25">
      <c r="A310" s="9"/>
      <c r="B310" s="9"/>
      <c r="C310" s="9"/>
      <c r="D310" s="9"/>
      <c r="E310" s="9"/>
      <c r="F310" s="9"/>
      <c r="G310" s="9"/>
      <c r="H310" s="9" t="str">
        <f t="shared" ca="1" si="4"/>
        <v/>
      </c>
      <c r="I310" s="9"/>
      <c r="J310" s="9"/>
      <c r="K310" s="9"/>
      <c r="L310" s="9"/>
      <c r="M310" s="9"/>
      <c r="N310" s="9"/>
      <c r="O310" s="9"/>
    </row>
    <row r="311" spans="1:15" x14ac:dyDescent="0.25">
      <c r="A311" s="9"/>
      <c r="B311" s="9"/>
      <c r="C311" s="9"/>
      <c r="D311" s="9"/>
      <c r="E311" s="9"/>
      <c r="F311" s="9"/>
      <c r="G311" s="9"/>
      <c r="H311" s="9" t="str">
        <f t="shared" ca="1" si="4"/>
        <v/>
      </c>
      <c r="I311" s="9"/>
      <c r="J311" s="9"/>
      <c r="K311" s="9"/>
      <c r="L311" s="9"/>
      <c r="M311" s="9"/>
      <c r="N311" s="9"/>
      <c r="O311" s="9"/>
    </row>
    <row r="312" spans="1:15" x14ac:dyDescent="0.25">
      <c r="A312" s="9"/>
      <c r="B312" s="9"/>
      <c r="C312" s="9"/>
      <c r="D312" s="9"/>
      <c r="E312" s="9"/>
      <c r="F312" s="9"/>
      <c r="G312" s="9"/>
      <c r="H312" s="9" t="str">
        <f t="shared" ca="1" si="4"/>
        <v/>
      </c>
      <c r="I312" s="9"/>
      <c r="J312" s="9"/>
      <c r="K312" s="9"/>
      <c r="L312" s="9"/>
      <c r="M312" s="9"/>
      <c r="N312" s="9"/>
      <c r="O312" s="9"/>
    </row>
    <row r="313" spans="1:15" x14ac:dyDescent="0.25">
      <c r="A313" s="9"/>
      <c r="B313" s="9"/>
      <c r="C313" s="9"/>
      <c r="D313" s="9"/>
      <c r="E313" s="9"/>
      <c r="F313" s="9"/>
      <c r="G313" s="9"/>
      <c r="H313" s="9" t="str">
        <f t="shared" ca="1" si="4"/>
        <v/>
      </c>
      <c r="I313" s="9"/>
      <c r="J313" s="9"/>
      <c r="K313" s="9"/>
      <c r="L313" s="9"/>
      <c r="M313" s="9"/>
      <c r="N313" s="9"/>
      <c r="O313" s="9"/>
    </row>
    <row r="314" spans="1:15" x14ac:dyDescent="0.25">
      <c r="A314" s="9"/>
      <c r="B314" s="9"/>
      <c r="C314" s="9"/>
      <c r="D314" s="9"/>
      <c r="E314" s="9"/>
      <c r="F314" s="9"/>
      <c r="G314" s="9"/>
      <c r="H314" s="9" t="str">
        <f t="shared" ca="1" si="4"/>
        <v/>
      </c>
      <c r="I314" s="9"/>
      <c r="J314" s="9"/>
      <c r="K314" s="9"/>
      <c r="L314" s="9"/>
      <c r="M314" s="9"/>
      <c r="N314" s="9"/>
      <c r="O314" s="9"/>
    </row>
    <row r="315" spans="1:15" x14ac:dyDescent="0.25">
      <c r="A315" s="9"/>
      <c r="B315" s="9"/>
      <c r="C315" s="9"/>
      <c r="D315" s="9"/>
      <c r="E315" s="9"/>
      <c r="F315" s="9"/>
      <c r="G315" s="9"/>
      <c r="H315" s="9" t="str">
        <f t="shared" ca="1" si="4"/>
        <v/>
      </c>
      <c r="I315" s="9"/>
      <c r="J315" s="9"/>
      <c r="K315" s="9"/>
      <c r="L315" s="9"/>
      <c r="M315" s="9"/>
      <c r="N315" s="9"/>
      <c r="O315" s="9"/>
    </row>
    <row r="316" spans="1:15" x14ac:dyDescent="0.25">
      <c r="A316" s="9"/>
      <c r="B316" s="9"/>
      <c r="C316" s="9"/>
      <c r="D316" s="9"/>
      <c r="E316" s="9"/>
      <c r="F316" s="9"/>
      <c r="G316" s="9"/>
      <c r="H316" s="9" t="str">
        <f t="shared" ca="1" si="4"/>
        <v/>
      </c>
      <c r="I316" s="9"/>
      <c r="J316" s="9"/>
      <c r="K316" s="9"/>
      <c r="L316" s="9"/>
      <c r="M316" s="9"/>
      <c r="N316" s="9"/>
      <c r="O316" s="9"/>
    </row>
    <row r="317" spans="1:15" x14ac:dyDescent="0.25">
      <c r="A317" s="9"/>
      <c r="B317" s="9"/>
      <c r="C317" s="9"/>
      <c r="D317" s="9"/>
      <c r="E317" s="9"/>
      <c r="F317" s="9"/>
      <c r="G317" s="9"/>
      <c r="H317" s="9" t="str">
        <f t="shared" ca="1" si="4"/>
        <v/>
      </c>
      <c r="I317" s="9"/>
      <c r="J317" s="9"/>
      <c r="K317" s="9"/>
      <c r="L317" s="9"/>
      <c r="M317" s="9"/>
      <c r="N317" s="9"/>
      <c r="O317" s="9"/>
    </row>
    <row r="318" spans="1:15" x14ac:dyDescent="0.25">
      <c r="A318" s="9"/>
      <c r="B318" s="9"/>
      <c r="C318" s="9"/>
      <c r="D318" s="9"/>
      <c r="E318" s="9"/>
      <c r="F318" s="9"/>
      <c r="G318" s="9"/>
      <c r="H318" s="9" t="str">
        <f t="shared" ca="1" si="4"/>
        <v/>
      </c>
      <c r="I318" s="9"/>
      <c r="J318" s="9"/>
      <c r="K318" s="9"/>
      <c r="L318" s="9"/>
      <c r="M318" s="9"/>
      <c r="N318" s="9"/>
      <c r="O318" s="9"/>
    </row>
    <row r="319" spans="1:15" x14ac:dyDescent="0.25">
      <c r="A319" s="9"/>
      <c r="B319" s="9"/>
      <c r="C319" s="9"/>
      <c r="D319" s="9"/>
      <c r="E319" s="9"/>
      <c r="F319" s="9"/>
      <c r="G319" s="9"/>
      <c r="H319" s="9" t="str">
        <f t="shared" ca="1" si="4"/>
        <v/>
      </c>
      <c r="I319" s="9"/>
      <c r="J319" s="9"/>
      <c r="K319" s="9"/>
      <c r="L319" s="9"/>
      <c r="M319" s="9"/>
      <c r="N319" s="9"/>
      <c r="O319" s="9"/>
    </row>
    <row r="320" spans="1:15" x14ac:dyDescent="0.25">
      <c r="A320" s="9"/>
      <c r="B320" s="9"/>
      <c r="C320" s="9"/>
      <c r="D320" s="9"/>
      <c r="E320" s="9"/>
      <c r="F320" s="9"/>
      <c r="G320" s="9"/>
      <c r="H320" s="9" t="str">
        <f t="shared" ca="1" si="4"/>
        <v/>
      </c>
      <c r="I320" s="9"/>
      <c r="J320" s="9"/>
      <c r="K320" s="9"/>
      <c r="L320" s="9"/>
      <c r="M320" s="9"/>
      <c r="N320" s="9"/>
      <c r="O320" s="9"/>
    </row>
    <row r="321" spans="1:15" x14ac:dyDescent="0.25">
      <c r="A321" s="9"/>
      <c r="B321" s="9"/>
      <c r="C321" s="9"/>
      <c r="D321" s="9"/>
      <c r="E321" s="9"/>
      <c r="F321" s="9"/>
      <c r="G321" s="9"/>
      <c r="H321" s="9" t="str">
        <f t="shared" ca="1" si="4"/>
        <v/>
      </c>
      <c r="I321" s="9"/>
      <c r="J321" s="9"/>
      <c r="K321" s="9"/>
      <c r="L321" s="9"/>
      <c r="M321" s="9"/>
      <c r="N321" s="9"/>
      <c r="O321" s="9"/>
    </row>
    <row r="322" spans="1:15" x14ac:dyDescent="0.25">
      <c r="A322" s="9"/>
      <c r="B322" s="9"/>
      <c r="C322" s="9"/>
      <c r="D322" s="9"/>
      <c r="E322" s="9"/>
      <c r="F322" s="9"/>
      <c r="G322" s="9"/>
      <c r="H322" s="9" t="str">
        <f t="shared" ca="1" si="4"/>
        <v/>
      </c>
      <c r="I322" s="9"/>
      <c r="J322" s="9"/>
      <c r="K322" s="9"/>
      <c r="L322" s="9"/>
      <c r="M322" s="9"/>
      <c r="N322" s="9"/>
      <c r="O322" s="9"/>
    </row>
    <row r="323" spans="1:15" x14ac:dyDescent="0.25">
      <c r="A323" s="9"/>
      <c r="B323" s="9"/>
      <c r="C323" s="9"/>
      <c r="D323" s="9"/>
      <c r="E323" s="9"/>
      <c r="F323" s="9"/>
      <c r="G323" s="9"/>
      <c r="H323" s="9" t="str">
        <f t="shared" ref="H323:H386" ca="1" si="5">IF(F323="","",F323-TODAY())</f>
        <v/>
      </c>
      <c r="I323" s="9"/>
      <c r="J323" s="9"/>
      <c r="K323" s="9"/>
      <c r="L323" s="9"/>
      <c r="M323" s="9"/>
      <c r="N323" s="9"/>
      <c r="O323" s="9"/>
    </row>
    <row r="324" spans="1:15" x14ac:dyDescent="0.25">
      <c r="A324" s="9"/>
      <c r="B324" s="9"/>
      <c r="C324" s="9"/>
      <c r="D324" s="9"/>
      <c r="E324" s="9"/>
      <c r="F324" s="9"/>
      <c r="G324" s="9"/>
      <c r="H324" s="9" t="str">
        <f t="shared" ca="1" si="5"/>
        <v/>
      </c>
      <c r="I324" s="9"/>
      <c r="J324" s="9"/>
      <c r="K324" s="9"/>
      <c r="L324" s="9"/>
      <c r="M324" s="9"/>
      <c r="N324" s="9"/>
      <c r="O324" s="9"/>
    </row>
    <row r="325" spans="1:15" x14ac:dyDescent="0.25">
      <c r="A325" s="9"/>
      <c r="B325" s="9"/>
      <c r="C325" s="9"/>
      <c r="D325" s="9"/>
      <c r="E325" s="9"/>
      <c r="F325" s="9"/>
      <c r="G325" s="9"/>
      <c r="H325" s="9" t="str">
        <f t="shared" ca="1" si="5"/>
        <v/>
      </c>
      <c r="I325" s="9"/>
      <c r="J325" s="9"/>
      <c r="K325" s="9"/>
      <c r="L325" s="9"/>
      <c r="M325" s="9"/>
      <c r="N325" s="9"/>
      <c r="O325" s="9"/>
    </row>
    <row r="326" spans="1:15" x14ac:dyDescent="0.25">
      <c r="A326" s="9"/>
      <c r="B326" s="9"/>
      <c r="C326" s="9"/>
      <c r="D326" s="9"/>
      <c r="E326" s="9"/>
      <c r="F326" s="9"/>
      <c r="G326" s="9"/>
      <c r="H326" s="9" t="str">
        <f t="shared" ca="1" si="5"/>
        <v/>
      </c>
      <c r="I326" s="9"/>
      <c r="J326" s="9"/>
      <c r="K326" s="9"/>
      <c r="L326" s="9"/>
      <c r="M326" s="9"/>
      <c r="N326" s="9"/>
      <c r="O326" s="9"/>
    </row>
    <row r="327" spans="1:15" x14ac:dyDescent="0.25">
      <c r="A327" s="9"/>
      <c r="B327" s="9"/>
      <c r="C327" s="9"/>
      <c r="D327" s="9"/>
      <c r="E327" s="9"/>
      <c r="F327" s="9"/>
      <c r="G327" s="9"/>
      <c r="H327" s="9" t="str">
        <f t="shared" ca="1" si="5"/>
        <v/>
      </c>
      <c r="I327" s="9"/>
      <c r="J327" s="9"/>
      <c r="K327" s="9"/>
      <c r="L327" s="9"/>
      <c r="M327" s="9"/>
      <c r="N327" s="9"/>
      <c r="O327" s="9"/>
    </row>
    <row r="328" spans="1:15" x14ac:dyDescent="0.25">
      <c r="A328" s="9"/>
      <c r="B328" s="9"/>
      <c r="C328" s="9"/>
      <c r="D328" s="9"/>
      <c r="E328" s="9"/>
      <c r="F328" s="9"/>
      <c r="G328" s="9"/>
      <c r="H328" s="9" t="str">
        <f t="shared" ca="1" si="5"/>
        <v/>
      </c>
      <c r="I328" s="9"/>
      <c r="J328" s="9"/>
      <c r="K328" s="9"/>
      <c r="L328" s="9"/>
      <c r="M328" s="9"/>
      <c r="N328" s="9"/>
      <c r="O328" s="9"/>
    </row>
    <row r="329" spans="1:15" x14ac:dyDescent="0.25">
      <c r="A329" s="9"/>
      <c r="B329" s="9"/>
      <c r="C329" s="9"/>
      <c r="D329" s="9"/>
      <c r="E329" s="9"/>
      <c r="F329" s="9"/>
      <c r="G329" s="9"/>
      <c r="H329" s="9" t="str">
        <f t="shared" ca="1" si="5"/>
        <v/>
      </c>
      <c r="I329" s="9"/>
      <c r="J329" s="9"/>
      <c r="K329" s="9"/>
      <c r="L329" s="9"/>
      <c r="M329" s="9"/>
      <c r="N329" s="9"/>
      <c r="O329" s="9"/>
    </row>
    <row r="330" spans="1:15" x14ac:dyDescent="0.25">
      <c r="A330" s="9"/>
      <c r="B330" s="9"/>
      <c r="C330" s="9"/>
      <c r="D330" s="9"/>
      <c r="E330" s="9"/>
      <c r="F330" s="9"/>
      <c r="G330" s="9"/>
      <c r="H330" s="9" t="str">
        <f t="shared" ca="1" si="5"/>
        <v/>
      </c>
      <c r="I330" s="9"/>
      <c r="J330" s="9"/>
      <c r="K330" s="9"/>
      <c r="L330" s="9"/>
      <c r="M330" s="9"/>
      <c r="N330" s="9"/>
      <c r="O330" s="9"/>
    </row>
    <row r="331" spans="1:15" x14ac:dyDescent="0.25">
      <c r="A331" s="9"/>
      <c r="B331" s="9"/>
      <c r="C331" s="9"/>
      <c r="D331" s="9"/>
      <c r="E331" s="9"/>
      <c r="F331" s="9"/>
      <c r="G331" s="9"/>
      <c r="H331" s="9" t="str">
        <f t="shared" ca="1" si="5"/>
        <v/>
      </c>
      <c r="I331" s="9"/>
      <c r="J331" s="9"/>
      <c r="K331" s="9"/>
      <c r="L331" s="9"/>
      <c r="M331" s="9"/>
      <c r="N331" s="9"/>
      <c r="O331" s="9"/>
    </row>
    <row r="332" spans="1:15" x14ac:dyDescent="0.25">
      <c r="A332" s="9"/>
      <c r="B332" s="9"/>
      <c r="C332" s="9"/>
      <c r="D332" s="9"/>
      <c r="E332" s="9"/>
      <c r="F332" s="9"/>
      <c r="G332" s="9"/>
      <c r="H332" s="9" t="str">
        <f t="shared" ca="1" si="5"/>
        <v/>
      </c>
      <c r="I332" s="9"/>
      <c r="J332" s="9"/>
      <c r="K332" s="9"/>
      <c r="L332" s="9"/>
      <c r="M332" s="9"/>
      <c r="N332" s="9"/>
      <c r="O332" s="9"/>
    </row>
    <row r="333" spans="1:15" x14ac:dyDescent="0.25">
      <c r="A333" s="9"/>
      <c r="B333" s="9"/>
      <c r="C333" s="9"/>
      <c r="D333" s="9"/>
      <c r="E333" s="9"/>
      <c r="F333" s="9"/>
      <c r="G333" s="9"/>
      <c r="H333" s="9" t="str">
        <f t="shared" ca="1" si="5"/>
        <v/>
      </c>
      <c r="I333" s="9"/>
      <c r="J333" s="9"/>
      <c r="K333" s="9"/>
      <c r="L333" s="9"/>
      <c r="M333" s="9"/>
      <c r="N333" s="9"/>
      <c r="O333" s="9"/>
    </row>
    <row r="334" spans="1:15" x14ac:dyDescent="0.25">
      <c r="A334" s="9"/>
      <c r="B334" s="9"/>
      <c r="C334" s="9"/>
      <c r="D334" s="9"/>
      <c r="E334" s="9"/>
      <c r="F334" s="9"/>
      <c r="G334" s="9"/>
      <c r="H334" s="9" t="str">
        <f t="shared" ca="1" si="5"/>
        <v/>
      </c>
      <c r="I334" s="9"/>
      <c r="J334" s="9"/>
      <c r="K334" s="9"/>
      <c r="L334" s="9"/>
      <c r="M334" s="9"/>
      <c r="N334" s="9"/>
      <c r="O334" s="9"/>
    </row>
    <row r="335" spans="1:15" x14ac:dyDescent="0.25">
      <c r="A335" s="9"/>
      <c r="B335" s="9"/>
      <c r="C335" s="9"/>
      <c r="D335" s="9"/>
      <c r="E335" s="9"/>
      <c r="F335" s="9"/>
      <c r="G335" s="9"/>
      <c r="H335" s="9" t="str">
        <f t="shared" ca="1" si="5"/>
        <v/>
      </c>
      <c r="I335" s="9"/>
      <c r="J335" s="9"/>
      <c r="K335" s="9"/>
      <c r="L335" s="9"/>
      <c r="M335" s="9"/>
      <c r="N335" s="9"/>
      <c r="O335" s="9"/>
    </row>
    <row r="336" spans="1:15" x14ac:dyDescent="0.25">
      <c r="A336" s="9"/>
      <c r="B336" s="9"/>
      <c r="C336" s="9"/>
      <c r="D336" s="9"/>
      <c r="E336" s="9"/>
      <c r="F336" s="9"/>
      <c r="G336" s="9"/>
      <c r="H336" s="9" t="str">
        <f t="shared" ca="1" si="5"/>
        <v/>
      </c>
      <c r="I336" s="9"/>
      <c r="J336" s="9"/>
      <c r="K336" s="9"/>
      <c r="L336" s="9"/>
      <c r="M336" s="9"/>
      <c r="N336" s="9"/>
      <c r="O336" s="9"/>
    </row>
    <row r="337" spans="1:15" x14ac:dyDescent="0.25">
      <c r="A337" s="9"/>
      <c r="B337" s="9"/>
      <c r="C337" s="9"/>
      <c r="D337" s="9"/>
      <c r="E337" s="9"/>
      <c r="F337" s="9"/>
      <c r="G337" s="9"/>
      <c r="H337" s="9" t="str">
        <f t="shared" ca="1" si="5"/>
        <v/>
      </c>
      <c r="I337" s="9"/>
      <c r="J337" s="9"/>
      <c r="K337" s="9"/>
      <c r="L337" s="9"/>
      <c r="M337" s="9"/>
      <c r="N337" s="9"/>
      <c r="O337" s="9"/>
    </row>
    <row r="338" spans="1:15" x14ac:dyDescent="0.25">
      <c r="A338" s="9"/>
      <c r="B338" s="9"/>
      <c r="C338" s="9"/>
      <c r="D338" s="9"/>
      <c r="E338" s="9"/>
      <c r="F338" s="9"/>
      <c r="G338" s="9"/>
      <c r="H338" s="9" t="str">
        <f t="shared" ca="1" si="5"/>
        <v/>
      </c>
      <c r="I338" s="9"/>
      <c r="J338" s="9"/>
      <c r="K338" s="9"/>
      <c r="L338" s="9"/>
      <c r="M338" s="9"/>
      <c r="N338" s="9"/>
      <c r="O338" s="9"/>
    </row>
    <row r="339" spans="1:15" x14ac:dyDescent="0.25">
      <c r="A339" s="9"/>
      <c r="B339" s="9"/>
      <c r="C339" s="9"/>
      <c r="D339" s="9"/>
      <c r="E339" s="9"/>
      <c r="F339" s="9"/>
      <c r="G339" s="9"/>
      <c r="H339" s="9" t="str">
        <f t="shared" ca="1" si="5"/>
        <v/>
      </c>
      <c r="I339" s="9"/>
      <c r="J339" s="9"/>
      <c r="K339" s="9"/>
      <c r="L339" s="9"/>
      <c r="M339" s="9"/>
      <c r="N339" s="9"/>
      <c r="O339" s="9"/>
    </row>
    <row r="340" spans="1:15" x14ac:dyDescent="0.25">
      <c r="A340" s="9"/>
      <c r="B340" s="9"/>
      <c r="C340" s="9"/>
      <c r="D340" s="9"/>
      <c r="E340" s="9"/>
      <c r="F340" s="9"/>
      <c r="G340" s="9"/>
      <c r="H340" s="9" t="str">
        <f t="shared" ca="1" si="5"/>
        <v/>
      </c>
      <c r="I340" s="9"/>
      <c r="J340" s="9"/>
      <c r="K340" s="9"/>
      <c r="L340" s="9"/>
      <c r="M340" s="9"/>
      <c r="N340" s="9"/>
      <c r="O340" s="9"/>
    </row>
    <row r="341" spans="1:15" x14ac:dyDescent="0.25">
      <c r="A341" s="9"/>
      <c r="B341" s="9"/>
      <c r="C341" s="9"/>
      <c r="D341" s="9"/>
      <c r="E341" s="9"/>
      <c r="F341" s="9"/>
      <c r="G341" s="9"/>
      <c r="H341" s="9" t="str">
        <f t="shared" ca="1" si="5"/>
        <v/>
      </c>
      <c r="I341" s="9"/>
      <c r="J341" s="9"/>
      <c r="K341" s="9"/>
      <c r="L341" s="9"/>
      <c r="M341" s="9"/>
      <c r="N341" s="9"/>
      <c r="O341" s="9"/>
    </row>
    <row r="342" spans="1:15" x14ac:dyDescent="0.25">
      <c r="A342" s="9"/>
      <c r="B342" s="9"/>
      <c r="C342" s="9"/>
      <c r="D342" s="9"/>
      <c r="E342" s="9"/>
      <c r="F342" s="9"/>
      <c r="G342" s="9"/>
      <c r="H342" s="9" t="str">
        <f t="shared" ca="1" si="5"/>
        <v/>
      </c>
      <c r="I342" s="9"/>
      <c r="J342" s="9"/>
      <c r="K342" s="9"/>
      <c r="L342" s="9"/>
      <c r="M342" s="9"/>
      <c r="N342" s="9"/>
      <c r="O342" s="9"/>
    </row>
    <row r="343" spans="1:15" x14ac:dyDescent="0.25">
      <c r="A343" s="9"/>
      <c r="B343" s="9"/>
      <c r="C343" s="9"/>
      <c r="D343" s="9"/>
      <c r="E343" s="9"/>
      <c r="F343" s="9"/>
      <c r="G343" s="9"/>
      <c r="H343" s="9" t="str">
        <f t="shared" ca="1" si="5"/>
        <v/>
      </c>
      <c r="I343" s="9"/>
      <c r="J343" s="9"/>
      <c r="K343" s="9"/>
      <c r="L343" s="9"/>
      <c r="M343" s="9"/>
      <c r="N343" s="9"/>
      <c r="O343" s="9"/>
    </row>
    <row r="344" spans="1:15" x14ac:dyDescent="0.25">
      <c r="A344" s="9"/>
      <c r="B344" s="9"/>
      <c r="C344" s="9"/>
      <c r="D344" s="9"/>
      <c r="E344" s="9"/>
      <c r="F344" s="9"/>
      <c r="G344" s="9"/>
      <c r="H344" s="9" t="str">
        <f t="shared" ca="1" si="5"/>
        <v/>
      </c>
      <c r="I344" s="9"/>
      <c r="J344" s="9"/>
      <c r="K344" s="9"/>
      <c r="L344" s="9"/>
      <c r="M344" s="9"/>
      <c r="N344" s="9"/>
      <c r="O344" s="9"/>
    </row>
    <row r="345" spans="1:15" x14ac:dyDescent="0.25">
      <c r="A345" s="9"/>
      <c r="B345" s="9"/>
      <c r="C345" s="9"/>
      <c r="D345" s="9"/>
      <c r="E345" s="9"/>
      <c r="F345" s="9"/>
      <c r="G345" s="9"/>
      <c r="H345" s="9" t="str">
        <f t="shared" ca="1" si="5"/>
        <v/>
      </c>
      <c r="I345" s="9"/>
      <c r="J345" s="9"/>
      <c r="K345" s="9"/>
      <c r="L345" s="9"/>
      <c r="M345" s="9"/>
      <c r="N345" s="9"/>
      <c r="O345" s="9"/>
    </row>
    <row r="346" spans="1:15" x14ac:dyDescent="0.25">
      <c r="A346" s="9"/>
      <c r="B346" s="9"/>
      <c r="C346" s="9"/>
      <c r="D346" s="9"/>
      <c r="E346" s="9"/>
      <c r="F346" s="9"/>
      <c r="G346" s="9"/>
      <c r="H346" s="9" t="str">
        <f t="shared" ca="1" si="5"/>
        <v/>
      </c>
      <c r="I346" s="9"/>
      <c r="J346" s="9"/>
      <c r="K346" s="9"/>
      <c r="L346" s="9"/>
      <c r="M346" s="9"/>
      <c r="N346" s="9"/>
      <c r="O346" s="9"/>
    </row>
    <row r="347" spans="1:15" x14ac:dyDescent="0.25">
      <c r="A347" s="9"/>
      <c r="B347" s="9"/>
      <c r="C347" s="9"/>
      <c r="D347" s="9"/>
      <c r="E347" s="9"/>
      <c r="F347" s="9"/>
      <c r="G347" s="9"/>
      <c r="H347" s="9" t="str">
        <f t="shared" ca="1" si="5"/>
        <v/>
      </c>
      <c r="I347" s="9"/>
      <c r="J347" s="9"/>
      <c r="K347" s="9"/>
      <c r="L347" s="9"/>
      <c r="M347" s="9"/>
      <c r="N347" s="9"/>
      <c r="O347" s="9"/>
    </row>
    <row r="348" spans="1:15" x14ac:dyDescent="0.25">
      <c r="A348" s="9"/>
      <c r="B348" s="9"/>
      <c r="C348" s="9"/>
      <c r="D348" s="9"/>
      <c r="E348" s="9"/>
      <c r="F348" s="9"/>
      <c r="G348" s="9"/>
      <c r="H348" s="9" t="str">
        <f t="shared" ca="1" si="5"/>
        <v/>
      </c>
      <c r="I348" s="9"/>
      <c r="J348" s="9"/>
      <c r="K348" s="9"/>
      <c r="L348" s="9"/>
      <c r="M348" s="9"/>
      <c r="N348" s="9"/>
      <c r="O348" s="9"/>
    </row>
    <row r="349" spans="1:15" x14ac:dyDescent="0.25">
      <c r="A349" s="9"/>
      <c r="B349" s="9"/>
      <c r="C349" s="9"/>
      <c r="D349" s="9"/>
      <c r="E349" s="9"/>
      <c r="F349" s="9"/>
      <c r="G349" s="9"/>
      <c r="H349" s="9" t="str">
        <f t="shared" ca="1" si="5"/>
        <v/>
      </c>
      <c r="I349" s="9"/>
      <c r="J349" s="9"/>
      <c r="K349" s="9"/>
      <c r="L349" s="9"/>
      <c r="M349" s="9"/>
      <c r="N349" s="9"/>
      <c r="O349" s="9"/>
    </row>
    <row r="350" spans="1:15" x14ac:dyDescent="0.25">
      <c r="A350" s="9"/>
      <c r="B350" s="9"/>
      <c r="C350" s="9"/>
      <c r="D350" s="9"/>
      <c r="E350" s="9"/>
      <c r="F350" s="9"/>
      <c r="G350" s="9"/>
      <c r="H350" s="9" t="str">
        <f t="shared" ca="1" si="5"/>
        <v/>
      </c>
      <c r="I350" s="9"/>
      <c r="J350" s="9"/>
      <c r="K350" s="9"/>
      <c r="L350" s="9"/>
      <c r="M350" s="9"/>
      <c r="N350" s="9"/>
      <c r="O350" s="9"/>
    </row>
    <row r="351" spans="1:15" x14ac:dyDescent="0.25">
      <c r="A351" s="9"/>
      <c r="B351" s="9"/>
      <c r="C351" s="9"/>
      <c r="D351" s="9"/>
      <c r="E351" s="9"/>
      <c r="F351" s="9"/>
      <c r="G351" s="9"/>
      <c r="H351" s="9" t="str">
        <f t="shared" ca="1" si="5"/>
        <v/>
      </c>
      <c r="I351" s="9"/>
      <c r="J351" s="9"/>
      <c r="K351" s="9"/>
      <c r="L351" s="9"/>
      <c r="M351" s="9"/>
      <c r="N351" s="9"/>
      <c r="O351" s="9"/>
    </row>
    <row r="352" spans="1:15" x14ac:dyDescent="0.25">
      <c r="A352" s="9"/>
      <c r="B352" s="9"/>
      <c r="C352" s="9"/>
      <c r="D352" s="9"/>
      <c r="E352" s="9"/>
      <c r="F352" s="9"/>
      <c r="G352" s="9"/>
      <c r="H352" s="9" t="str">
        <f t="shared" ca="1" si="5"/>
        <v/>
      </c>
      <c r="I352" s="9"/>
      <c r="J352" s="9"/>
      <c r="K352" s="9"/>
      <c r="L352" s="9"/>
      <c r="M352" s="9"/>
      <c r="N352" s="9"/>
      <c r="O352" s="9"/>
    </row>
    <row r="353" spans="1:15" x14ac:dyDescent="0.25">
      <c r="A353" s="9"/>
      <c r="B353" s="9"/>
      <c r="C353" s="9"/>
      <c r="D353" s="9"/>
      <c r="E353" s="9"/>
      <c r="F353" s="9"/>
      <c r="G353" s="9"/>
      <c r="H353" s="9" t="str">
        <f t="shared" ca="1" si="5"/>
        <v/>
      </c>
      <c r="I353" s="9"/>
      <c r="J353" s="9"/>
      <c r="K353" s="9"/>
      <c r="L353" s="9"/>
      <c r="M353" s="9"/>
      <c r="N353" s="9"/>
      <c r="O353" s="9"/>
    </row>
    <row r="354" spans="1:15" x14ac:dyDescent="0.25">
      <c r="A354" s="9"/>
      <c r="B354" s="9"/>
      <c r="C354" s="9"/>
      <c r="D354" s="9"/>
      <c r="E354" s="9"/>
      <c r="F354" s="9"/>
      <c r="G354" s="9"/>
      <c r="H354" s="9" t="str">
        <f t="shared" ca="1" si="5"/>
        <v/>
      </c>
      <c r="I354" s="9"/>
      <c r="J354" s="9"/>
      <c r="K354" s="9"/>
      <c r="L354" s="9"/>
      <c r="M354" s="9"/>
      <c r="N354" s="9"/>
      <c r="O354" s="9"/>
    </row>
    <row r="355" spans="1:15" x14ac:dyDescent="0.25">
      <c r="A355" s="9"/>
      <c r="B355" s="9"/>
      <c r="C355" s="9"/>
      <c r="D355" s="9"/>
      <c r="E355" s="9"/>
      <c r="F355" s="9"/>
      <c r="G355" s="9"/>
      <c r="H355" s="9" t="str">
        <f t="shared" ca="1" si="5"/>
        <v/>
      </c>
      <c r="I355" s="9"/>
      <c r="J355" s="9"/>
      <c r="K355" s="9"/>
      <c r="L355" s="9"/>
      <c r="M355" s="9"/>
      <c r="N355" s="9"/>
      <c r="O355" s="9"/>
    </row>
    <row r="356" spans="1:15" x14ac:dyDescent="0.25">
      <c r="A356" s="9"/>
      <c r="B356" s="9"/>
      <c r="C356" s="9"/>
      <c r="D356" s="9"/>
      <c r="E356" s="9"/>
      <c r="F356" s="9"/>
      <c r="G356" s="9"/>
      <c r="H356" s="9" t="str">
        <f t="shared" ca="1" si="5"/>
        <v/>
      </c>
      <c r="I356" s="9"/>
      <c r="J356" s="9"/>
      <c r="K356" s="9"/>
      <c r="L356" s="9"/>
      <c r="M356" s="9"/>
      <c r="N356" s="9"/>
      <c r="O356" s="9"/>
    </row>
    <row r="357" spans="1:15" x14ac:dyDescent="0.25">
      <c r="A357" s="9"/>
      <c r="B357" s="9"/>
      <c r="C357" s="9"/>
      <c r="D357" s="9"/>
      <c r="E357" s="9"/>
      <c r="F357" s="9"/>
      <c r="G357" s="9"/>
      <c r="H357" s="9" t="str">
        <f t="shared" ca="1" si="5"/>
        <v/>
      </c>
      <c r="I357" s="9"/>
      <c r="J357" s="9"/>
      <c r="K357" s="9"/>
      <c r="L357" s="9"/>
      <c r="M357" s="9"/>
      <c r="N357" s="9"/>
      <c r="O357" s="9"/>
    </row>
    <row r="358" spans="1:15" x14ac:dyDescent="0.25">
      <c r="A358" s="9"/>
      <c r="B358" s="9"/>
      <c r="C358" s="9"/>
      <c r="D358" s="9"/>
      <c r="E358" s="9"/>
      <c r="F358" s="9"/>
      <c r="G358" s="9"/>
      <c r="H358" s="9" t="str">
        <f t="shared" ca="1" si="5"/>
        <v/>
      </c>
      <c r="I358" s="9"/>
      <c r="J358" s="9"/>
      <c r="K358" s="9"/>
      <c r="L358" s="9"/>
      <c r="M358" s="9"/>
      <c r="N358" s="9"/>
      <c r="O358" s="9"/>
    </row>
    <row r="359" spans="1:15" x14ac:dyDescent="0.25">
      <c r="A359" s="9"/>
      <c r="B359" s="9"/>
      <c r="C359" s="9"/>
      <c r="D359" s="9"/>
      <c r="E359" s="9"/>
      <c r="F359" s="9"/>
      <c r="G359" s="9"/>
      <c r="H359" s="9" t="str">
        <f t="shared" ca="1" si="5"/>
        <v/>
      </c>
      <c r="I359" s="9"/>
      <c r="J359" s="9"/>
      <c r="K359" s="9"/>
      <c r="L359" s="9"/>
      <c r="M359" s="9"/>
      <c r="N359" s="9"/>
      <c r="O359" s="9"/>
    </row>
    <row r="360" spans="1:15" x14ac:dyDescent="0.25">
      <c r="A360" s="9"/>
      <c r="B360" s="9"/>
      <c r="C360" s="9"/>
      <c r="D360" s="9"/>
      <c r="E360" s="9"/>
      <c r="F360" s="9"/>
      <c r="G360" s="9"/>
      <c r="H360" s="9" t="str">
        <f t="shared" ca="1" si="5"/>
        <v/>
      </c>
      <c r="I360" s="9"/>
      <c r="J360" s="9"/>
      <c r="K360" s="9"/>
      <c r="L360" s="9"/>
      <c r="M360" s="9"/>
      <c r="N360" s="9"/>
      <c r="O360" s="9"/>
    </row>
    <row r="361" spans="1:15" x14ac:dyDescent="0.25">
      <c r="A361" s="9"/>
      <c r="B361" s="9"/>
      <c r="C361" s="9"/>
      <c r="D361" s="9"/>
      <c r="E361" s="9"/>
      <c r="F361" s="9"/>
      <c r="G361" s="9"/>
      <c r="H361" s="9" t="str">
        <f t="shared" ca="1" si="5"/>
        <v/>
      </c>
      <c r="I361" s="9"/>
      <c r="J361" s="9"/>
      <c r="K361" s="9"/>
      <c r="L361" s="9"/>
      <c r="M361" s="9"/>
      <c r="N361" s="9"/>
      <c r="O361" s="9"/>
    </row>
    <row r="362" spans="1:15" x14ac:dyDescent="0.25">
      <c r="A362" s="9"/>
      <c r="B362" s="9"/>
      <c r="C362" s="9"/>
      <c r="D362" s="9"/>
      <c r="E362" s="9"/>
      <c r="F362" s="9"/>
      <c r="G362" s="9"/>
      <c r="H362" s="9" t="str">
        <f t="shared" ca="1" si="5"/>
        <v/>
      </c>
      <c r="I362" s="9"/>
      <c r="J362" s="9"/>
      <c r="K362" s="9"/>
      <c r="L362" s="9"/>
      <c r="M362" s="9"/>
      <c r="N362" s="9"/>
      <c r="O362" s="9"/>
    </row>
    <row r="363" spans="1:15" x14ac:dyDescent="0.25">
      <c r="A363" s="9"/>
      <c r="B363" s="9"/>
      <c r="C363" s="9"/>
      <c r="D363" s="9"/>
      <c r="E363" s="9"/>
      <c r="F363" s="9"/>
      <c r="G363" s="9"/>
      <c r="H363" s="9" t="str">
        <f t="shared" ca="1" si="5"/>
        <v/>
      </c>
      <c r="I363" s="9"/>
      <c r="J363" s="9"/>
      <c r="K363" s="9"/>
      <c r="L363" s="9"/>
      <c r="M363" s="9"/>
      <c r="N363" s="9"/>
      <c r="O363" s="9"/>
    </row>
    <row r="364" spans="1:15" x14ac:dyDescent="0.25">
      <c r="A364" s="9"/>
      <c r="B364" s="9"/>
      <c r="C364" s="9"/>
      <c r="D364" s="9"/>
      <c r="E364" s="9"/>
      <c r="F364" s="9"/>
      <c r="G364" s="9"/>
      <c r="H364" s="9" t="str">
        <f t="shared" ca="1" si="5"/>
        <v/>
      </c>
      <c r="I364" s="9"/>
      <c r="J364" s="9"/>
      <c r="K364" s="9"/>
      <c r="L364" s="9"/>
      <c r="M364" s="9"/>
      <c r="N364" s="9"/>
      <c r="O364" s="9"/>
    </row>
    <row r="365" spans="1:15" x14ac:dyDescent="0.25">
      <c r="A365" s="9"/>
      <c r="B365" s="9"/>
      <c r="C365" s="9"/>
      <c r="D365" s="9"/>
      <c r="E365" s="9"/>
      <c r="F365" s="9"/>
      <c r="G365" s="9"/>
      <c r="H365" s="9" t="str">
        <f t="shared" ca="1" si="5"/>
        <v/>
      </c>
      <c r="I365" s="9"/>
      <c r="J365" s="9"/>
      <c r="K365" s="9"/>
      <c r="L365" s="9"/>
      <c r="M365" s="9"/>
      <c r="N365" s="9"/>
      <c r="O365" s="9"/>
    </row>
    <row r="366" spans="1:15" x14ac:dyDescent="0.25">
      <c r="A366" s="9"/>
      <c r="B366" s="9"/>
      <c r="C366" s="9"/>
      <c r="D366" s="9"/>
      <c r="E366" s="9"/>
      <c r="F366" s="9"/>
      <c r="G366" s="9"/>
      <c r="H366" s="9" t="str">
        <f t="shared" ca="1" si="5"/>
        <v/>
      </c>
      <c r="I366" s="9"/>
      <c r="J366" s="9"/>
      <c r="K366" s="9"/>
      <c r="L366" s="9"/>
      <c r="M366" s="9"/>
      <c r="N366" s="9"/>
      <c r="O366" s="9"/>
    </row>
    <row r="367" spans="1:15" x14ac:dyDescent="0.25">
      <c r="A367" s="9"/>
      <c r="B367" s="9"/>
      <c r="C367" s="9"/>
      <c r="D367" s="9"/>
      <c r="E367" s="9"/>
      <c r="F367" s="9"/>
      <c r="G367" s="9"/>
      <c r="H367" s="9" t="str">
        <f t="shared" ca="1" si="5"/>
        <v/>
      </c>
      <c r="I367" s="9"/>
      <c r="J367" s="9"/>
      <c r="K367" s="9"/>
      <c r="L367" s="9"/>
      <c r="M367" s="9"/>
      <c r="N367" s="9"/>
      <c r="O367" s="9"/>
    </row>
    <row r="368" spans="1:15" x14ac:dyDescent="0.25">
      <c r="A368" s="9"/>
      <c r="B368" s="9"/>
      <c r="C368" s="9"/>
      <c r="D368" s="9"/>
      <c r="E368" s="9"/>
      <c r="F368" s="9"/>
      <c r="G368" s="9"/>
      <c r="H368" s="9" t="str">
        <f t="shared" ca="1" si="5"/>
        <v/>
      </c>
      <c r="I368" s="9"/>
      <c r="J368" s="9"/>
      <c r="K368" s="9"/>
      <c r="L368" s="9"/>
      <c r="M368" s="9"/>
      <c r="N368" s="9"/>
      <c r="O368" s="9"/>
    </row>
    <row r="369" spans="1:15" x14ac:dyDescent="0.25">
      <c r="A369" s="9"/>
      <c r="B369" s="9"/>
      <c r="C369" s="9"/>
      <c r="D369" s="9"/>
      <c r="E369" s="9"/>
      <c r="F369" s="9"/>
      <c r="G369" s="9"/>
      <c r="H369" s="9" t="str">
        <f t="shared" ca="1" si="5"/>
        <v/>
      </c>
      <c r="I369" s="9"/>
      <c r="J369" s="9"/>
      <c r="K369" s="9"/>
      <c r="L369" s="9"/>
      <c r="M369" s="9"/>
      <c r="N369" s="9"/>
      <c r="O369" s="9"/>
    </row>
    <row r="370" spans="1:15" x14ac:dyDescent="0.25">
      <c r="A370" s="9"/>
      <c r="B370" s="9"/>
      <c r="C370" s="9"/>
      <c r="D370" s="9"/>
      <c r="E370" s="9"/>
      <c r="F370" s="9"/>
      <c r="G370" s="9"/>
      <c r="H370" s="9" t="str">
        <f t="shared" ca="1" si="5"/>
        <v/>
      </c>
      <c r="I370" s="9"/>
      <c r="J370" s="9"/>
      <c r="K370" s="9"/>
      <c r="L370" s="9"/>
      <c r="M370" s="9"/>
      <c r="N370" s="9"/>
      <c r="O370" s="9"/>
    </row>
    <row r="371" spans="1:15" x14ac:dyDescent="0.25">
      <c r="A371" s="9"/>
      <c r="B371" s="9"/>
      <c r="C371" s="9"/>
      <c r="D371" s="9"/>
      <c r="E371" s="9"/>
      <c r="F371" s="9"/>
      <c r="G371" s="9"/>
      <c r="H371" s="9" t="str">
        <f t="shared" ca="1" si="5"/>
        <v/>
      </c>
      <c r="I371" s="9"/>
      <c r="J371" s="9"/>
      <c r="K371" s="9"/>
      <c r="L371" s="9"/>
      <c r="M371" s="9"/>
      <c r="N371" s="9"/>
      <c r="O371" s="9"/>
    </row>
    <row r="372" spans="1:15" x14ac:dyDescent="0.25">
      <c r="A372" s="9"/>
      <c r="B372" s="9"/>
      <c r="C372" s="9"/>
      <c r="D372" s="9"/>
      <c r="E372" s="9"/>
      <c r="F372" s="9"/>
      <c r="G372" s="9"/>
      <c r="H372" s="9" t="str">
        <f t="shared" ca="1" si="5"/>
        <v/>
      </c>
      <c r="I372" s="9"/>
      <c r="J372" s="9"/>
      <c r="K372" s="9"/>
      <c r="L372" s="9"/>
      <c r="M372" s="9"/>
      <c r="N372" s="9"/>
      <c r="O372" s="9"/>
    </row>
    <row r="373" spans="1:15" x14ac:dyDescent="0.25">
      <c r="A373" s="9"/>
      <c r="B373" s="9"/>
      <c r="C373" s="9"/>
      <c r="D373" s="9"/>
      <c r="E373" s="9"/>
      <c r="F373" s="9"/>
      <c r="G373" s="9"/>
      <c r="H373" s="9" t="str">
        <f t="shared" ca="1" si="5"/>
        <v/>
      </c>
      <c r="I373" s="9"/>
      <c r="J373" s="9"/>
      <c r="K373" s="9"/>
      <c r="L373" s="9"/>
      <c r="M373" s="9"/>
      <c r="N373" s="9"/>
      <c r="O373" s="9"/>
    </row>
    <row r="374" spans="1:15" x14ac:dyDescent="0.25">
      <c r="A374" s="9"/>
      <c r="B374" s="9"/>
      <c r="C374" s="9"/>
      <c r="D374" s="9"/>
      <c r="E374" s="9"/>
      <c r="F374" s="9"/>
      <c r="G374" s="9"/>
      <c r="H374" s="9" t="str">
        <f t="shared" ca="1" si="5"/>
        <v/>
      </c>
      <c r="I374" s="9"/>
      <c r="J374" s="9"/>
      <c r="K374" s="9"/>
      <c r="L374" s="9"/>
      <c r="M374" s="9"/>
      <c r="N374" s="9"/>
      <c r="O374" s="9"/>
    </row>
    <row r="375" spans="1:15" x14ac:dyDescent="0.25">
      <c r="A375" s="9"/>
      <c r="B375" s="9"/>
      <c r="C375" s="9"/>
      <c r="D375" s="9"/>
      <c r="E375" s="9"/>
      <c r="F375" s="9"/>
      <c r="G375" s="9"/>
      <c r="H375" s="9" t="str">
        <f t="shared" ca="1" si="5"/>
        <v/>
      </c>
      <c r="I375" s="9"/>
      <c r="J375" s="9"/>
      <c r="K375" s="9"/>
      <c r="L375" s="9"/>
      <c r="M375" s="9"/>
      <c r="N375" s="9"/>
      <c r="O375" s="9"/>
    </row>
    <row r="376" spans="1:15" x14ac:dyDescent="0.25">
      <c r="A376" s="9"/>
      <c r="B376" s="9"/>
      <c r="C376" s="9"/>
      <c r="D376" s="9"/>
      <c r="E376" s="9"/>
      <c r="F376" s="9"/>
      <c r="G376" s="9"/>
      <c r="H376" s="9" t="str">
        <f t="shared" ca="1" si="5"/>
        <v/>
      </c>
      <c r="I376" s="9"/>
      <c r="J376" s="9"/>
      <c r="K376" s="9"/>
      <c r="L376" s="9"/>
      <c r="M376" s="9"/>
      <c r="N376" s="9"/>
      <c r="O376" s="9"/>
    </row>
    <row r="377" spans="1:15" x14ac:dyDescent="0.25">
      <c r="A377" s="9"/>
      <c r="B377" s="9"/>
      <c r="C377" s="9"/>
      <c r="D377" s="9"/>
      <c r="E377" s="9"/>
      <c r="F377" s="9"/>
      <c r="G377" s="9"/>
      <c r="H377" s="9" t="str">
        <f t="shared" ca="1" si="5"/>
        <v/>
      </c>
      <c r="I377" s="9"/>
      <c r="J377" s="9"/>
      <c r="K377" s="9"/>
      <c r="L377" s="9"/>
      <c r="M377" s="9"/>
      <c r="N377" s="9"/>
      <c r="O377" s="9"/>
    </row>
    <row r="378" spans="1:15" x14ac:dyDescent="0.25">
      <c r="A378" s="9"/>
      <c r="B378" s="9"/>
      <c r="C378" s="9"/>
      <c r="D378" s="9"/>
      <c r="E378" s="9"/>
      <c r="F378" s="9"/>
      <c r="G378" s="9"/>
      <c r="H378" s="9" t="str">
        <f t="shared" ca="1" si="5"/>
        <v/>
      </c>
      <c r="I378" s="9"/>
      <c r="J378" s="9"/>
      <c r="K378" s="9"/>
      <c r="L378" s="9"/>
      <c r="M378" s="9"/>
      <c r="N378" s="9"/>
      <c r="O378" s="9"/>
    </row>
    <row r="379" spans="1:15" x14ac:dyDescent="0.25">
      <c r="A379" s="9"/>
      <c r="B379" s="9"/>
      <c r="C379" s="9"/>
      <c r="D379" s="9"/>
      <c r="E379" s="9"/>
      <c r="F379" s="9"/>
      <c r="G379" s="9"/>
      <c r="H379" s="9" t="str">
        <f t="shared" ca="1" si="5"/>
        <v/>
      </c>
      <c r="I379" s="9"/>
      <c r="J379" s="9"/>
      <c r="K379" s="9"/>
      <c r="L379" s="9"/>
      <c r="M379" s="9"/>
      <c r="N379" s="9"/>
      <c r="O379" s="9"/>
    </row>
    <row r="380" spans="1:15" x14ac:dyDescent="0.25">
      <c r="A380" s="9"/>
      <c r="B380" s="9"/>
      <c r="C380" s="9"/>
      <c r="D380" s="9"/>
      <c r="E380" s="9"/>
      <c r="F380" s="9"/>
      <c r="G380" s="9"/>
      <c r="H380" s="9" t="str">
        <f t="shared" ca="1" si="5"/>
        <v/>
      </c>
      <c r="I380" s="9"/>
      <c r="J380" s="9"/>
      <c r="K380" s="9"/>
      <c r="L380" s="9"/>
      <c r="M380" s="9"/>
      <c r="N380" s="9"/>
      <c r="O380" s="9"/>
    </row>
    <row r="381" spans="1:15" x14ac:dyDescent="0.25">
      <c r="A381" s="9"/>
      <c r="B381" s="9"/>
      <c r="C381" s="9"/>
      <c r="D381" s="9"/>
      <c r="E381" s="9"/>
      <c r="F381" s="9"/>
      <c r="G381" s="9"/>
      <c r="H381" s="9" t="str">
        <f t="shared" ca="1" si="5"/>
        <v/>
      </c>
      <c r="I381" s="9"/>
      <c r="J381" s="9"/>
      <c r="K381" s="9"/>
      <c r="L381" s="9"/>
      <c r="M381" s="9"/>
      <c r="N381" s="9"/>
      <c r="O381" s="9"/>
    </row>
    <row r="382" spans="1:15" x14ac:dyDescent="0.25">
      <c r="A382" s="9"/>
      <c r="B382" s="9"/>
      <c r="C382" s="9"/>
      <c r="D382" s="9"/>
      <c r="E382" s="9"/>
      <c r="F382" s="9"/>
      <c r="G382" s="9"/>
      <c r="H382" s="9" t="str">
        <f t="shared" ca="1" si="5"/>
        <v/>
      </c>
      <c r="I382" s="9"/>
      <c r="J382" s="9"/>
      <c r="K382" s="9"/>
      <c r="L382" s="9"/>
      <c r="M382" s="9"/>
      <c r="N382" s="9"/>
      <c r="O382" s="9"/>
    </row>
    <row r="383" spans="1:15" x14ac:dyDescent="0.25">
      <c r="A383" s="9"/>
      <c r="B383" s="9"/>
      <c r="C383" s="9"/>
      <c r="D383" s="9"/>
      <c r="E383" s="9"/>
      <c r="F383" s="9"/>
      <c r="G383" s="9"/>
      <c r="H383" s="9" t="str">
        <f t="shared" ca="1" si="5"/>
        <v/>
      </c>
      <c r="I383" s="9"/>
      <c r="J383" s="9"/>
      <c r="K383" s="9"/>
      <c r="L383" s="9"/>
      <c r="M383" s="9"/>
      <c r="N383" s="9"/>
      <c r="O383" s="9"/>
    </row>
    <row r="384" spans="1:15" x14ac:dyDescent="0.25">
      <c r="A384" s="9"/>
      <c r="B384" s="9"/>
      <c r="C384" s="9"/>
      <c r="D384" s="9"/>
      <c r="E384" s="9"/>
      <c r="F384" s="9"/>
      <c r="G384" s="9"/>
      <c r="H384" s="9" t="str">
        <f t="shared" ca="1" si="5"/>
        <v/>
      </c>
      <c r="I384" s="9"/>
      <c r="J384" s="9"/>
      <c r="K384" s="9"/>
      <c r="L384" s="9"/>
      <c r="M384" s="9"/>
      <c r="N384" s="9"/>
      <c r="O384" s="9"/>
    </row>
    <row r="385" spans="1:15" x14ac:dyDescent="0.25">
      <c r="A385" s="9"/>
      <c r="B385" s="9"/>
      <c r="C385" s="9"/>
      <c r="D385" s="9"/>
      <c r="E385" s="9"/>
      <c r="F385" s="9"/>
      <c r="G385" s="9"/>
      <c r="H385" s="9" t="str">
        <f t="shared" ca="1" si="5"/>
        <v/>
      </c>
      <c r="I385" s="9"/>
      <c r="J385" s="9"/>
      <c r="K385" s="9"/>
      <c r="L385" s="9"/>
      <c r="M385" s="9"/>
      <c r="N385" s="9"/>
      <c r="O385" s="9"/>
    </row>
    <row r="386" spans="1:15" x14ac:dyDescent="0.25">
      <c r="A386" s="9"/>
      <c r="B386" s="9"/>
      <c r="C386" s="9"/>
      <c r="D386" s="9"/>
      <c r="E386" s="9"/>
      <c r="F386" s="9"/>
      <c r="G386" s="9"/>
      <c r="H386" s="9" t="str">
        <f t="shared" ca="1" si="5"/>
        <v/>
      </c>
      <c r="I386" s="9"/>
      <c r="J386" s="9"/>
      <c r="K386" s="9"/>
      <c r="L386" s="9"/>
      <c r="M386" s="9"/>
      <c r="N386" s="9"/>
      <c r="O386" s="9"/>
    </row>
    <row r="387" spans="1:15" x14ac:dyDescent="0.25">
      <c r="A387" s="9"/>
      <c r="B387" s="9"/>
      <c r="C387" s="9"/>
      <c r="D387" s="9"/>
      <c r="E387" s="9"/>
      <c r="F387" s="9"/>
      <c r="G387" s="9"/>
      <c r="H387" s="9" t="str">
        <f t="shared" ref="H387:H450" ca="1" si="6">IF(F387="","",F387-TODAY())</f>
        <v/>
      </c>
      <c r="I387" s="9"/>
      <c r="J387" s="9"/>
      <c r="K387" s="9"/>
      <c r="L387" s="9"/>
      <c r="M387" s="9"/>
      <c r="N387" s="9"/>
      <c r="O387" s="9"/>
    </row>
    <row r="388" spans="1:15" x14ac:dyDescent="0.25">
      <c r="A388" s="9"/>
      <c r="B388" s="9"/>
      <c r="C388" s="9"/>
      <c r="D388" s="9"/>
      <c r="E388" s="9"/>
      <c r="F388" s="9"/>
      <c r="G388" s="9"/>
      <c r="H388" s="9" t="str">
        <f t="shared" ca="1" si="6"/>
        <v/>
      </c>
      <c r="I388" s="9"/>
      <c r="J388" s="9"/>
      <c r="K388" s="9"/>
      <c r="L388" s="9"/>
      <c r="M388" s="9"/>
      <c r="N388" s="9"/>
      <c r="O388" s="9"/>
    </row>
    <row r="389" spans="1:15" x14ac:dyDescent="0.25">
      <c r="A389" s="9"/>
      <c r="B389" s="9"/>
      <c r="C389" s="9"/>
      <c r="D389" s="9"/>
      <c r="E389" s="9"/>
      <c r="F389" s="9"/>
      <c r="G389" s="9"/>
      <c r="H389" s="9" t="str">
        <f t="shared" ca="1" si="6"/>
        <v/>
      </c>
      <c r="I389" s="9"/>
      <c r="J389" s="9"/>
      <c r="K389" s="9"/>
      <c r="L389" s="9"/>
      <c r="M389" s="9"/>
      <c r="N389" s="9"/>
      <c r="O389" s="9"/>
    </row>
    <row r="390" spans="1:15" x14ac:dyDescent="0.25">
      <c r="A390" s="9"/>
      <c r="B390" s="9"/>
      <c r="C390" s="9"/>
      <c r="D390" s="9"/>
      <c r="E390" s="9"/>
      <c r="F390" s="9"/>
      <c r="G390" s="9"/>
      <c r="H390" s="9" t="str">
        <f t="shared" ca="1" si="6"/>
        <v/>
      </c>
      <c r="I390" s="9"/>
      <c r="J390" s="9"/>
      <c r="K390" s="9"/>
      <c r="L390" s="9"/>
      <c r="M390" s="9"/>
      <c r="N390" s="9"/>
      <c r="O390" s="9"/>
    </row>
    <row r="391" spans="1:15" x14ac:dyDescent="0.25">
      <c r="A391" s="9"/>
      <c r="B391" s="9"/>
      <c r="C391" s="9"/>
      <c r="D391" s="9"/>
      <c r="E391" s="9"/>
      <c r="F391" s="9"/>
      <c r="G391" s="9"/>
      <c r="H391" s="9" t="str">
        <f t="shared" ca="1" si="6"/>
        <v/>
      </c>
      <c r="I391" s="9"/>
      <c r="J391" s="9"/>
      <c r="K391" s="9"/>
      <c r="L391" s="9"/>
      <c r="M391" s="9"/>
      <c r="N391" s="9"/>
      <c r="O391" s="9"/>
    </row>
    <row r="392" spans="1:15" x14ac:dyDescent="0.25">
      <c r="A392" s="9"/>
      <c r="B392" s="9"/>
      <c r="C392" s="9"/>
      <c r="D392" s="9"/>
      <c r="E392" s="9"/>
      <c r="F392" s="9"/>
      <c r="G392" s="9"/>
      <c r="H392" s="9" t="str">
        <f t="shared" ca="1" si="6"/>
        <v/>
      </c>
      <c r="I392" s="9"/>
      <c r="J392" s="9"/>
      <c r="K392" s="9"/>
      <c r="L392" s="9"/>
      <c r="M392" s="9"/>
      <c r="N392" s="9"/>
      <c r="O392" s="9"/>
    </row>
    <row r="393" spans="1:15" x14ac:dyDescent="0.25">
      <c r="A393" s="9"/>
      <c r="B393" s="9"/>
      <c r="C393" s="9"/>
      <c r="D393" s="9"/>
      <c r="E393" s="9"/>
      <c r="F393" s="9"/>
      <c r="G393" s="9"/>
      <c r="H393" s="9" t="str">
        <f t="shared" ca="1" si="6"/>
        <v/>
      </c>
      <c r="I393" s="9"/>
      <c r="J393" s="9"/>
      <c r="K393" s="9"/>
      <c r="L393" s="9"/>
      <c r="M393" s="9"/>
      <c r="N393" s="9"/>
      <c r="O393" s="9"/>
    </row>
    <row r="394" spans="1:15" x14ac:dyDescent="0.25">
      <c r="A394" s="9"/>
      <c r="B394" s="9"/>
      <c r="C394" s="9"/>
      <c r="D394" s="9"/>
      <c r="E394" s="9"/>
      <c r="F394" s="9"/>
      <c r="G394" s="9"/>
      <c r="H394" s="9" t="str">
        <f t="shared" ca="1" si="6"/>
        <v/>
      </c>
      <c r="I394" s="9"/>
      <c r="J394" s="9"/>
      <c r="K394" s="9"/>
      <c r="L394" s="9"/>
      <c r="M394" s="9"/>
      <c r="N394" s="9"/>
      <c r="O394" s="9"/>
    </row>
    <row r="395" spans="1:15" x14ac:dyDescent="0.25">
      <c r="A395" s="9"/>
      <c r="B395" s="9"/>
      <c r="C395" s="9"/>
      <c r="D395" s="9"/>
      <c r="E395" s="9"/>
      <c r="F395" s="9"/>
      <c r="G395" s="9"/>
      <c r="H395" s="9" t="str">
        <f t="shared" ca="1" si="6"/>
        <v/>
      </c>
      <c r="I395" s="9"/>
      <c r="J395" s="9"/>
      <c r="K395" s="9"/>
      <c r="L395" s="9"/>
      <c r="M395" s="9"/>
      <c r="N395" s="9"/>
      <c r="O395" s="9"/>
    </row>
    <row r="396" spans="1:15" x14ac:dyDescent="0.25">
      <c r="A396" s="9"/>
      <c r="B396" s="9"/>
      <c r="C396" s="9"/>
      <c r="D396" s="9"/>
      <c r="E396" s="9"/>
      <c r="F396" s="9"/>
      <c r="G396" s="9"/>
      <c r="H396" s="9" t="str">
        <f t="shared" ca="1" si="6"/>
        <v/>
      </c>
      <c r="I396" s="9"/>
      <c r="J396" s="9"/>
      <c r="K396" s="9"/>
      <c r="L396" s="9"/>
      <c r="M396" s="9"/>
      <c r="N396" s="9"/>
      <c r="O396" s="9"/>
    </row>
    <row r="397" spans="1:15" x14ac:dyDescent="0.25">
      <c r="A397" s="9"/>
      <c r="B397" s="9"/>
      <c r="C397" s="9"/>
      <c r="D397" s="9"/>
      <c r="E397" s="9"/>
      <c r="F397" s="9"/>
      <c r="G397" s="9"/>
      <c r="H397" s="9" t="str">
        <f t="shared" ca="1" si="6"/>
        <v/>
      </c>
      <c r="I397" s="9"/>
      <c r="J397" s="9"/>
      <c r="K397" s="9"/>
      <c r="L397" s="9"/>
      <c r="M397" s="9"/>
      <c r="N397" s="9"/>
      <c r="O397" s="9"/>
    </row>
    <row r="398" spans="1:15" x14ac:dyDescent="0.25">
      <c r="A398" s="9"/>
      <c r="B398" s="9"/>
      <c r="C398" s="9"/>
      <c r="D398" s="9"/>
      <c r="E398" s="9"/>
      <c r="F398" s="9"/>
      <c r="G398" s="9"/>
      <c r="H398" s="9" t="str">
        <f t="shared" ca="1" si="6"/>
        <v/>
      </c>
      <c r="I398" s="9"/>
      <c r="J398" s="9"/>
      <c r="K398" s="9"/>
      <c r="L398" s="9"/>
      <c r="M398" s="9"/>
      <c r="N398" s="9"/>
      <c r="O398" s="9"/>
    </row>
    <row r="399" spans="1:15" x14ac:dyDescent="0.25">
      <c r="A399" s="9"/>
      <c r="B399" s="9"/>
      <c r="C399" s="9"/>
      <c r="D399" s="9"/>
      <c r="E399" s="9"/>
      <c r="F399" s="9"/>
      <c r="G399" s="9"/>
      <c r="H399" s="9" t="str">
        <f t="shared" ca="1" si="6"/>
        <v/>
      </c>
      <c r="I399" s="9"/>
      <c r="J399" s="9"/>
      <c r="K399" s="9"/>
      <c r="L399" s="9"/>
      <c r="M399" s="9"/>
      <c r="N399" s="9"/>
      <c r="O399" s="9"/>
    </row>
    <row r="400" spans="1:15" x14ac:dyDescent="0.25">
      <c r="A400" s="9"/>
      <c r="B400" s="9"/>
      <c r="C400" s="9"/>
      <c r="D400" s="9"/>
      <c r="E400" s="9"/>
      <c r="F400" s="9"/>
      <c r="G400" s="9"/>
      <c r="H400" s="9" t="str">
        <f t="shared" ca="1" si="6"/>
        <v/>
      </c>
      <c r="I400" s="9"/>
      <c r="J400" s="9"/>
      <c r="K400" s="9"/>
      <c r="L400" s="9"/>
      <c r="M400" s="9"/>
      <c r="N400" s="9"/>
      <c r="O400" s="9"/>
    </row>
    <row r="401" spans="1:15" x14ac:dyDescent="0.25">
      <c r="A401" s="9"/>
      <c r="B401" s="9"/>
      <c r="C401" s="9"/>
      <c r="D401" s="9"/>
      <c r="E401" s="9"/>
      <c r="F401" s="9"/>
      <c r="G401" s="9"/>
      <c r="H401" s="9" t="str">
        <f t="shared" ca="1" si="6"/>
        <v/>
      </c>
      <c r="I401" s="9"/>
      <c r="J401" s="9"/>
      <c r="K401" s="9"/>
      <c r="L401" s="9"/>
      <c r="M401" s="9"/>
      <c r="N401" s="9"/>
      <c r="O401" s="9"/>
    </row>
    <row r="402" spans="1:15" x14ac:dyDescent="0.25">
      <c r="A402" s="9"/>
      <c r="B402" s="9"/>
      <c r="C402" s="9"/>
      <c r="D402" s="9"/>
      <c r="E402" s="9"/>
      <c r="F402" s="9"/>
      <c r="G402" s="9"/>
      <c r="H402" s="9" t="str">
        <f t="shared" ca="1" si="6"/>
        <v/>
      </c>
      <c r="I402" s="9"/>
      <c r="J402" s="9"/>
      <c r="K402" s="9"/>
      <c r="L402" s="9"/>
      <c r="M402" s="9"/>
      <c r="N402" s="9"/>
      <c r="O402" s="9"/>
    </row>
    <row r="403" spans="1:15" x14ac:dyDescent="0.25">
      <c r="A403" s="9"/>
      <c r="B403" s="9"/>
      <c r="C403" s="9"/>
      <c r="D403" s="9"/>
      <c r="E403" s="9"/>
      <c r="F403" s="9"/>
      <c r="G403" s="9"/>
      <c r="H403" s="9" t="str">
        <f t="shared" ca="1" si="6"/>
        <v/>
      </c>
      <c r="I403" s="9"/>
      <c r="J403" s="9"/>
      <c r="K403" s="9"/>
      <c r="L403" s="9"/>
      <c r="M403" s="9"/>
      <c r="N403" s="9"/>
      <c r="O403" s="9"/>
    </row>
    <row r="404" spans="1:15" x14ac:dyDescent="0.25">
      <c r="A404" s="9"/>
      <c r="B404" s="9"/>
      <c r="C404" s="9"/>
      <c r="D404" s="9"/>
      <c r="E404" s="9"/>
      <c r="F404" s="9"/>
      <c r="G404" s="9"/>
      <c r="H404" s="9" t="str">
        <f t="shared" ca="1" si="6"/>
        <v/>
      </c>
      <c r="I404" s="9"/>
      <c r="J404" s="9"/>
      <c r="K404" s="9"/>
      <c r="L404" s="9"/>
      <c r="M404" s="9"/>
      <c r="N404" s="9"/>
      <c r="O404" s="9"/>
    </row>
    <row r="405" spans="1:15" x14ac:dyDescent="0.25">
      <c r="A405" s="9"/>
      <c r="B405" s="9"/>
      <c r="C405" s="9"/>
      <c r="D405" s="9"/>
      <c r="E405" s="9"/>
      <c r="F405" s="9"/>
      <c r="G405" s="9"/>
      <c r="H405" s="9" t="str">
        <f t="shared" ca="1" si="6"/>
        <v/>
      </c>
      <c r="I405" s="9"/>
      <c r="J405" s="9"/>
      <c r="K405" s="9"/>
      <c r="L405" s="9"/>
      <c r="M405" s="9"/>
      <c r="N405" s="9"/>
      <c r="O405" s="9"/>
    </row>
    <row r="406" spans="1:15" x14ac:dyDescent="0.25">
      <c r="A406" s="9"/>
      <c r="B406" s="9"/>
      <c r="C406" s="9"/>
      <c r="D406" s="9"/>
      <c r="E406" s="9"/>
      <c r="F406" s="9"/>
      <c r="G406" s="9"/>
      <c r="H406" s="9" t="str">
        <f t="shared" ca="1" si="6"/>
        <v/>
      </c>
      <c r="I406" s="9"/>
      <c r="J406" s="9"/>
      <c r="K406" s="9"/>
      <c r="L406" s="9"/>
      <c r="M406" s="9"/>
      <c r="N406" s="9"/>
      <c r="O406" s="9"/>
    </row>
    <row r="407" spans="1:15" x14ac:dyDescent="0.25">
      <c r="A407" s="9"/>
      <c r="B407" s="9"/>
      <c r="C407" s="9"/>
      <c r="D407" s="9"/>
      <c r="E407" s="9"/>
      <c r="F407" s="9"/>
      <c r="G407" s="9"/>
      <c r="H407" s="9" t="str">
        <f t="shared" ca="1" si="6"/>
        <v/>
      </c>
      <c r="I407" s="9"/>
      <c r="J407" s="9"/>
      <c r="K407" s="9"/>
      <c r="L407" s="9"/>
      <c r="M407" s="9"/>
      <c r="N407" s="9"/>
      <c r="O407" s="9"/>
    </row>
    <row r="408" spans="1:15" x14ac:dyDescent="0.25">
      <c r="A408" s="9"/>
      <c r="B408" s="9"/>
      <c r="C408" s="9"/>
      <c r="D408" s="9"/>
      <c r="E408" s="9"/>
      <c r="F408" s="9"/>
      <c r="G408" s="9"/>
      <c r="H408" s="9" t="str">
        <f t="shared" ca="1" si="6"/>
        <v/>
      </c>
      <c r="I408" s="9"/>
      <c r="J408" s="9"/>
      <c r="K408" s="9"/>
      <c r="L408" s="9"/>
      <c r="M408" s="9"/>
      <c r="N408" s="9"/>
      <c r="O408" s="9"/>
    </row>
    <row r="409" spans="1:15" x14ac:dyDescent="0.25">
      <c r="A409" s="9"/>
      <c r="B409" s="9"/>
      <c r="C409" s="9"/>
      <c r="D409" s="9"/>
      <c r="E409" s="9"/>
      <c r="F409" s="9"/>
      <c r="G409" s="9"/>
      <c r="H409" s="9" t="str">
        <f t="shared" ca="1" si="6"/>
        <v/>
      </c>
      <c r="I409" s="9"/>
      <c r="J409" s="9"/>
      <c r="K409" s="9"/>
      <c r="L409" s="9"/>
      <c r="M409" s="9"/>
      <c r="N409" s="9"/>
      <c r="O409" s="9"/>
    </row>
    <row r="410" spans="1:15" x14ac:dyDescent="0.25">
      <c r="A410" s="9"/>
      <c r="B410" s="9"/>
      <c r="C410" s="9"/>
      <c r="D410" s="9"/>
      <c r="E410" s="9"/>
      <c r="F410" s="9"/>
      <c r="G410" s="9"/>
      <c r="H410" s="9" t="str">
        <f t="shared" ca="1" si="6"/>
        <v/>
      </c>
      <c r="I410" s="9"/>
      <c r="J410" s="9"/>
      <c r="K410" s="9"/>
      <c r="L410" s="9"/>
      <c r="M410" s="9"/>
      <c r="N410" s="9"/>
      <c r="O410" s="9"/>
    </row>
    <row r="411" spans="1:15" x14ac:dyDescent="0.25">
      <c r="A411" s="9"/>
      <c r="B411" s="9"/>
      <c r="C411" s="9"/>
      <c r="D411" s="9"/>
      <c r="E411" s="9"/>
      <c r="F411" s="9"/>
      <c r="G411" s="9"/>
      <c r="H411" s="9" t="str">
        <f t="shared" ca="1" si="6"/>
        <v/>
      </c>
      <c r="I411" s="9"/>
      <c r="J411" s="9"/>
      <c r="K411" s="9"/>
      <c r="L411" s="9"/>
      <c r="M411" s="9"/>
      <c r="N411" s="9"/>
      <c r="O411" s="9"/>
    </row>
    <row r="412" spans="1:15" x14ac:dyDescent="0.25">
      <c r="A412" s="9"/>
      <c r="B412" s="9"/>
      <c r="C412" s="9"/>
      <c r="D412" s="9"/>
      <c r="E412" s="9"/>
      <c r="F412" s="9"/>
      <c r="G412" s="9"/>
      <c r="H412" s="9" t="str">
        <f t="shared" ca="1" si="6"/>
        <v/>
      </c>
      <c r="I412" s="9"/>
      <c r="J412" s="9"/>
      <c r="K412" s="9"/>
      <c r="L412" s="9"/>
      <c r="M412" s="9"/>
      <c r="N412" s="9"/>
      <c r="O412" s="9"/>
    </row>
    <row r="413" spans="1:15" x14ac:dyDescent="0.25">
      <c r="A413" s="9"/>
      <c r="B413" s="9"/>
      <c r="C413" s="9"/>
      <c r="D413" s="9"/>
      <c r="E413" s="9"/>
      <c r="F413" s="9"/>
      <c r="G413" s="9"/>
      <c r="H413" s="9" t="str">
        <f t="shared" ca="1" si="6"/>
        <v/>
      </c>
      <c r="I413" s="9"/>
      <c r="J413" s="9"/>
      <c r="K413" s="9"/>
      <c r="L413" s="9"/>
      <c r="M413" s="9"/>
      <c r="N413" s="9"/>
      <c r="O413" s="9"/>
    </row>
    <row r="414" spans="1:15" x14ac:dyDescent="0.25">
      <c r="A414" s="9"/>
      <c r="B414" s="9"/>
      <c r="C414" s="9"/>
      <c r="D414" s="9"/>
      <c r="E414" s="9"/>
      <c r="F414" s="9"/>
      <c r="G414" s="9"/>
      <c r="H414" s="9" t="str">
        <f t="shared" ca="1" si="6"/>
        <v/>
      </c>
      <c r="I414" s="9"/>
      <c r="J414" s="9"/>
      <c r="K414" s="9"/>
      <c r="L414" s="9"/>
      <c r="M414" s="9"/>
      <c r="N414" s="9"/>
      <c r="O414" s="9"/>
    </row>
    <row r="415" spans="1:15" x14ac:dyDescent="0.25">
      <c r="A415" s="9"/>
      <c r="B415" s="9"/>
      <c r="C415" s="9"/>
      <c r="D415" s="9"/>
      <c r="E415" s="9"/>
      <c r="F415" s="9"/>
      <c r="G415" s="9"/>
      <c r="H415" s="9" t="str">
        <f t="shared" ca="1" si="6"/>
        <v/>
      </c>
      <c r="I415" s="9"/>
      <c r="J415" s="9"/>
      <c r="K415" s="9"/>
      <c r="L415" s="9"/>
      <c r="M415" s="9"/>
      <c r="N415" s="9"/>
      <c r="O415" s="9"/>
    </row>
    <row r="416" spans="1:15" x14ac:dyDescent="0.25">
      <c r="A416" s="9"/>
      <c r="B416" s="9"/>
      <c r="C416" s="9"/>
      <c r="D416" s="9"/>
      <c r="E416" s="9"/>
      <c r="F416" s="9"/>
      <c r="G416" s="9"/>
      <c r="H416" s="9" t="str">
        <f t="shared" ca="1" si="6"/>
        <v/>
      </c>
      <c r="I416" s="9"/>
      <c r="J416" s="9"/>
      <c r="K416" s="9"/>
      <c r="L416" s="9"/>
      <c r="M416" s="9"/>
      <c r="N416" s="9"/>
      <c r="O416" s="9"/>
    </row>
    <row r="417" spans="1:15" x14ac:dyDescent="0.25">
      <c r="A417" s="9"/>
      <c r="B417" s="9"/>
      <c r="C417" s="9"/>
      <c r="D417" s="9"/>
      <c r="E417" s="9"/>
      <c r="F417" s="9"/>
      <c r="G417" s="9"/>
      <c r="H417" s="9" t="str">
        <f t="shared" ca="1" si="6"/>
        <v/>
      </c>
      <c r="I417" s="9"/>
      <c r="J417" s="9"/>
      <c r="K417" s="9"/>
      <c r="L417" s="9"/>
      <c r="M417" s="9"/>
      <c r="N417" s="9"/>
      <c r="O417" s="9"/>
    </row>
    <row r="418" spans="1:15" x14ac:dyDescent="0.25">
      <c r="A418" s="9"/>
      <c r="B418" s="9"/>
      <c r="C418" s="9"/>
      <c r="D418" s="9"/>
      <c r="E418" s="9"/>
      <c r="F418" s="9"/>
      <c r="G418" s="9"/>
      <c r="H418" s="9" t="str">
        <f t="shared" ca="1" si="6"/>
        <v/>
      </c>
      <c r="I418" s="9"/>
      <c r="J418" s="9"/>
      <c r="K418" s="9"/>
      <c r="L418" s="9"/>
      <c r="M418" s="9"/>
      <c r="N418" s="9"/>
      <c r="O418" s="9"/>
    </row>
    <row r="419" spans="1:15" x14ac:dyDescent="0.25">
      <c r="A419" s="9"/>
      <c r="B419" s="9"/>
      <c r="C419" s="9"/>
      <c r="D419" s="9"/>
      <c r="E419" s="9"/>
      <c r="F419" s="9"/>
      <c r="G419" s="9"/>
      <c r="H419" s="9" t="str">
        <f t="shared" ca="1" si="6"/>
        <v/>
      </c>
      <c r="I419" s="9"/>
      <c r="J419" s="9"/>
      <c r="K419" s="9"/>
      <c r="L419" s="9"/>
      <c r="M419" s="9"/>
      <c r="N419" s="9"/>
      <c r="O419" s="9"/>
    </row>
    <row r="420" spans="1:15" x14ac:dyDescent="0.25">
      <c r="A420" s="9"/>
      <c r="B420" s="9"/>
      <c r="C420" s="9"/>
      <c r="D420" s="9"/>
      <c r="E420" s="9"/>
      <c r="F420" s="9"/>
      <c r="G420" s="9"/>
      <c r="H420" s="9" t="str">
        <f t="shared" ca="1" si="6"/>
        <v/>
      </c>
      <c r="I420" s="9"/>
      <c r="J420" s="9"/>
      <c r="K420" s="9"/>
      <c r="L420" s="9"/>
      <c r="M420" s="9"/>
      <c r="N420" s="9"/>
      <c r="O420" s="9"/>
    </row>
    <row r="421" spans="1:15" x14ac:dyDescent="0.25">
      <c r="A421" s="9"/>
      <c r="B421" s="9"/>
      <c r="C421" s="9"/>
      <c r="D421" s="9"/>
      <c r="E421" s="9"/>
      <c r="F421" s="9"/>
      <c r="G421" s="9"/>
      <c r="H421" s="9" t="str">
        <f t="shared" ca="1" si="6"/>
        <v/>
      </c>
      <c r="I421" s="9"/>
      <c r="J421" s="9"/>
      <c r="K421" s="9"/>
      <c r="L421" s="9"/>
      <c r="M421" s="9"/>
      <c r="N421" s="9"/>
      <c r="O421" s="9"/>
    </row>
    <row r="422" spans="1:15" x14ac:dyDescent="0.25">
      <c r="A422" s="9"/>
      <c r="B422" s="9"/>
      <c r="C422" s="9"/>
      <c r="D422" s="9"/>
      <c r="E422" s="9"/>
      <c r="F422" s="9"/>
      <c r="G422" s="9"/>
      <c r="H422" s="9" t="str">
        <f t="shared" ca="1" si="6"/>
        <v/>
      </c>
      <c r="I422" s="9"/>
      <c r="J422" s="9"/>
      <c r="K422" s="9"/>
      <c r="L422" s="9"/>
      <c r="M422" s="9"/>
      <c r="N422" s="9"/>
      <c r="O422" s="9"/>
    </row>
    <row r="423" spans="1:15" x14ac:dyDescent="0.25">
      <c r="A423" s="9"/>
      <c r="B423" s="9"/>
      <c r="C423" s="9"/>
      <c r="D423" s="9"/>
      <c r="E423" s="9"/>
      <c r="F423" s="9"/>
      <c r="G423" s="9"/>
      <c r="H423" s="9" t="str">
        <f t="shared" ca="1" si="6"/>
        <v/>
      </c>
      <c r="I423" s="9"/>
      <c r="J423" s="9"/>
      <c r="K423" s="9"/>
      <c r="L423" s="9"/>
      <c r="M423" s="9"/>
      <c r="N423" s="9"/>
      <c r="O423" s="9"/>
    </row>
    <row r="424" spans="1:15" x14ac:dyDescent="0.25">
      <c r="A424" s="9"/>
      <c r="B424" s="9"/>
      <c r="C424" s="9"/>
      <c r="D424" s="9"/>
      <c r="E424" s="9"/>
      <c r="F424" s="9"/>
      <c r="G424" s="9"/>
      <c r="H424" s="9" t="str">
        <f t="shared" ca="1" si="6"/>
        <v/>
      </c>
      <c r="I424" s="9"/>
      <c r="J424" s="9"/>
      <c r="K424" s="9"/>
      <c r="L424" s="9"/>
      <c r="M424" s="9"/>
      <c r="N424" s="9"/>
      <c r="O424" s="9"/>
    </row>
    <row r="425" spans="1:15" x14ac:dyDescent="0.25">
      <c r="A425" s="9"/>
      <c r="B425" s="9"/>
      <c r="C425" s="9"/>
      <c r="D425" s="9"/>
      <c r="E425" s="9"/>
      <c r="F425" s="9"/>
      <c r="G425" s="9"/>
      <c r="H425" s="9" t="str">
        <f t="shared" ca="1" si="6"/>
        <v/>
      </c>
      <c r="I425" s="9"/>
      <c r="J425" s="9"/>
      <c r="K425" s="9"/>
      <c r="L425" s="9"/>
      <c r="M425" s="9"/>
      <c r="N425" s="9"/>
      <c r="O425" s="9"/>
    </row>
    <row r="426" spans="1:15" x14ac:dyDescent="0.25">
      <c r="A426" s="9"/>
      <c r="B426" s="9"/>
      <c r="C426" s="9"/>
      <c r="D426" s="9"/>
      <c r="E426" s="9"/>
      <c r="F426" s="9"/>
      <c r="G426" s="9"/>
      <c r="H426" s="9" t="str">
        <f t="shared" ca="1" si="6"/>
        <v/>
      </c>
      <c r="I426" s="9"/>
      <c r="J426" s="9"/>
      <c r="K426" s="9"/>
      <c r="L426" s="9"/>
      <c r="M426" s="9"/>
      <c r="N426" s="9"/>
      <c r="O426" s="9"/>
    </row>
    <row r="427" spans="1:15" x14ac:dyDescent="0.25">
      <c r="A427" s="9"/>
      <c r="B427" s="9"/>
      <c r="C427" s="9"/>
      <c r="D427" s="9"/>
      <c r="E427" s="9"/>
      <c r="F427" s="9"/>
      <c r="G427" s="9"/>
      <c r="H427" s="9" t="str">
        <f t="shared" ca="1" si="6"/>
        <v/>
      </c>
      <c r="I427" s="9"/>
      <c r="J427" s="9"/>
      <c r="K427" s="9"/>
      <c r="L427" s="9"/>
      <c r="M427" s="9"/>
      <c r="N427" s="9"/>
      <c r="O427" s="9"/>
    </row>
    <row r="428" spans="1:15" x14ac:dyDescent="0.25">
      <c r="A428" s="9"/>
      <c r="B428" s="9"/>
      <c r="C428" s="9"/>
      <c r="D428" s="9"/>
      <c r="E428" s="9"/>
      <c r="F428" s="9"/>
      <c r="G428" s="9"/>
      <c r="H428" s="9" t="str">
        <f t="shared" ca="1" si="6"/>
        <v/>
      </c>
      <c r="I428" s="9"/>
      <c r="J428" s="9"/>
      <c r="K428" s="9"/>
      <c r="L428" s="9"/>
      <c r="M428" s="9"/>
      <c r="N428" s="9"/>
      <c r="O428" s="9"/>
    </row>
    <row r="429" spans="1:15" x14ac:dyDescent="0.25">
      <c r="A429" s="9"/>
      <c r="B429" s="9"/>
      <c r="C429" s="9"/>
      <c r="D429" s="9"/>
      <c r="E429" s="9"/>
      <c r="F429" s="9"/>
      <c r="G429" s="9"/>
      <c r="H429" s="9" t="str">
        <f t="shared" ca="1" si="6"/>
        <v/>
      </c>
      <c r="I429" s="9"/>
      <c r="J429" s="9"/>
      <c r="K429" s="9"/>
      <c r="L429" s="9"/>
      <c r="M429" s="9"/>
      <c r="N429" s="9"/>
      <c r="O429" s="9"/>
    </row>
    <row r="430" spans="1:15" x14ac:dyDescent="0.25">
      <c r="A430" s="9"/>
      <c r="B430" s="9"/>
      <c r="C430" s="9"/>
      <c r="D430" s="9"/>
      <c r="E430" s="9"/>
      <c r="F430" s="9"/>
      <c r="G430" s="9"/>
      <c r="H430" s="9" t="str">
        <f t="shared" ca="1" si="6"/>
        <v/>
      </c>
      <c r="I430" s="9"/>
      <c r="J430" s="9"/>
      <c r="K430" s="9"/>
      <c r="L430" s="9"/>
      <c r="M430" s="9"/>
      <c r="N430" s="9"/>
      <c r="O430" s="9"/>
    </row>
    <row r="431" spans="1:15" x14ac:dyDescent="0.25">
      <c r="A431" s="9"/>
      <c r="B431" s="9"/>
      <c r="C431" s="9"/>
      <c r="D431" s="9"/>
      <c r="E431" s="9"/>
      <c r="F431" s="9"/>
      <c r="G431" s="9"/>
      <c r="H431" s="9" t="str">
        <f t="shared" ca="1" si="6"/>
        <v/>
      </c>
      <c r="I431" s="9"/>
      <c r="J431" s="9"/>
      <c r="K431" s="9"/>
      <c r="L431" s="9"/>
      <c r="M431" s="9"/>
      <c r="N431" s="9"/>
      <c r="O431" s="9"/>
    </row>
    <row r="432" spans="1:15" x14ac:dyDescent="0.25">
      <c r="A432" s="9"/>
      <c r="B432" s="9"/>
      <c r="C432" s="9"/>
      <c r="D432" s="9"/>
      <c r="E432" s="9"/>
      <c r="F432" s="9"/>
      <c r="G432" s="9"/>
      <c r="H432" s="9" t="str">
        <f t="shared" ca="1" si="6"/>
        <v/>
      </c>
      <c r="I432" s="9"/>
      <c r="J432" s="9"/>
      <c r="K432" s="9"/>
      <c r="L432" s="9"/>
      <c r="M432" s="9"/>
      <c r="N432" s="9"/>
      <c r="O432" s="9"/>
    </row>
    <row r="433" spans="1:15" x14ac:dyDescent="0.25">
      <c r="A433" s="9"/>
      <c r="B433" s="9"/>
      <c r="C433" s="9"/>
      <c r="D433" s="9"/>
      <c r="E433" s="9"/>
      <c r="F433" s="9"/>
      <c r="G433" s="9"/>
      <c r="H433" s="9" t="str">
        <f t="shared" ca="1" si="6"/>
        <v/>
      </c>
      <c r="I433" s="9"/>
      <c r="J433" s="9"/>
      <c r="K433" s="9"/>
      <c r="L433" s="9"/>
      <c r="M433" s="9"/>
      <c r="N433" s="9"/>
      <c r="O433" s="9"/>
    </row>
    <row r="434" spans="1:15" x14ac:dyDescent="0.25">
      <c r="A434" s="9"/>
      <c r="B434" s="9"/>
      <c r="C434" s="9"/>
      <c r="D434" s="9"/>
      <c r="E434" s="9"/>
      <c r="F434" s="9"/>
      <c r="G434" s="9"/>
      <c r="H434" s="9" t="str">
        <f t="shared" ca="1" si="6"/>
        <v/>
      </c>
      <c r="I434" s="9"/>
      <c r="J434" s="9"/>
      <c r="K434" s="9"/>
      <c r="L434" s="9"/>
      <c r="M434" s="9"/>
      <c r="N434" s="9"/>
      <c r="O434" s="9"/>
    </row>
    <row r="435" spans="1:15" x14ac:dyDescent="0.25">
      <c r="A435" s="9"/>
      <c r="B435" s="9"/>
      <c r="C435" s="9"/>
      <c r="D435" s="9"/>
      <c r="E435" s="9"/>
      <c r="F435" s="9"/>
      <c r="G435" s="9"/>
      <c r="H435" s="9" t="str">
        <f t="shared" ca="1" si="6"/>
        <v/>
      </c>
      <c r="I435" s="9"/>
      <c r="J435" s="9"/>
      <c r="K435" s="9"/>
      <c r="L435" s="9"/>
      <c r="M435" s="9"/>
      <c r="N435" s="9"/>
      <c r="O435" s="9"/>
    </row>
    <row r="436" spans="1:15" x14ac:dyDescent="0.25">
      <c r="A436" s="9"/>
      <c r="B436" s="9"/>
      <c r="C436" s="9"/>
      <c r="D436" s="9"/>
      <c r="E436" s="9"/>
      <c r="F436" s="9"/>
      <c r="G436" s="9"/>
      <c r="H436" s="9" t="str">
        <f t="shared" ca="1" si="6"/>
        <v/>
      </c>
      <c r="I436" s="9"/>
      <c r="J436" s="9"/>
      <c r="K436" s="9"/>
      <c r="L436" s="9"/>
      <c r="M436" s="9"/>
      <c r="N436" s="9"/>
      <c r="O436" s="9"/>
    </row>
    <row r="437" spans="1:15" x14ac:dyDescent="0.25">
      <c r="A437" s="9"/>
      <c r="B437" s="9"/>
      <c r="C437" s="9"/>
      <c r="D437" s="9"/>
      <c r="E437" s="9"/>
      <c r="F437" s="9"/>
      <c r="G437" s="9"/>
      <c r="H437" s="9" t="str">
        <f t="shared" ca="1" si="6"/>
        <v/>
      </c>
      <c r="I437" s="9"/>
      <c r="J437" s="9"/>
      <c r="K437" s="9"/>
      <c r="L437" s="9"/>
      <c r="M437" s="9"/>
      <c r="N437" s="9"/>
      <c r="O437" s="9"/>
    </row>
    <row r="438" spans="1:15" x14ac:dyDescent="0.25">
      <c r="A438" s="9"/>
      <c r="B438" s="9"/>
      <c r="C438" s="9"/>
      <c r="D438" s="9"/>
      <c r="E438" s="9"/>
      <c r="F438" s="9"/>
      <c r="G438" s="9"/>
      <c r="H438" s="9" t="str">
        <f t="shared" ca="1" si="6"/>
        <v/>
      </c>
      <c r="I438" s="9"/>
      <c r="J438" s="9"/>
      <c r="K438" s="9"/>
      <c r="L438" s="9"/>
      <c r="M438" s="9"/>
      <c r="N438" s="9"/>
      <c r="O438" s="9"/>
    </row>
    <row r="439" spans="1:15" x14ac:dyDescent="0.25">
      <c r="A439" s="9"/>
      <c r="B439" s="9"/>
      <c r="C439" s="9"/>
      <c r="D439" s="9"/>
      <c r="E439" s="9"/>
      <c r="F439" s="9"/>
      <c r="G439" s="9"/>
      <c r="H439" s="9" t="str">
        <f t="shared" ca="1" si="6"/>
        <v/>
      </c>
      <c r="I439" s="9"/>
      <c r="J439" s="9"/>
      <c r="K439" s="9"/>
      <c r="L439" s="9"/>
      <c r="M439" s="9"/>
      <c r="N439" s="9"/>
      <c r="O439" s="9"/>
    </row>
    <row r="440" spans="1:15" x14ac:dyDescent="0.25">
      <c r="A440" s="9"/>
      <c r="B440" s="9"/>
      <c r="C440" s="9"/>
      <c r="D440" s="9"/>
      <c r="E440" s="9"/>
      <c r="F440" s="9"/>
      <c r="G440" s="9"/>
      <c r="H440" s="9" t="str">
        <f t="shared" ca="1" si="6"/>
        <v/>
      </c>
      <c r="I440" s="9"/>
      <c r="J440" s="9"/>
      <c r="K440" s="9"/>
      <c r="L440" s="9"/>
      <c r="M440" s="9"/>
      <c r="N440" s="9"/>
      <c r="O440" s="9"/>
    </row>
    <row r="441" spans="1:15" x14ac:dyDescent="0.25">
      <c r="A441" s="9"/>
      <c r="B441" s="9"/>
      <c r="C441" s="9"/>
      <c r="D441" s="9"/>
      <c r="E441" s="9"/>
      <c r="F441" s="9"/>
      <c r="G441" s="9"/>
      <c r="H441" s="9" t="str">
        <f t="shared" ca="1" si="6"/>
        <v/>
      </c>
      <c r="I441" s="9"/>
      <c r="J441" s="9"/>
      <c r="K441" s="9"/>
      <c r="L441" s="9"/>
      <c r="M441" s="9"/>
      <c r="N441" s="9"/>
      <c r="O441" s="9"/>
    </row>
    <row r="442" spans="1:15" x14ac:dyDescent="0.25">
      <c r="A442" s="9"/>
      <c r="B442" s="9"/>
      <c r="C442" s="9"/>
      <c r="D442" s="9"/>
      <c r="E442" s="9"/>
      <c r="F442" s="9"/>
      <c r="G442" s="9"/>
      <c r="H442" s="9" t="str">
        <f t="shared" ca="1" si="6"/>
        <v/>
      </c>
      <c r="I442" s="9"/>
      <c r="J442" s="9"/>
      <c r="K442" s="9"/>
      <c r="L442" s="9"/>
      <c r="M442" s="9"/>
      <c r="N442" s="9"/>
      <c r="O442" s="9"/>
    </row>
    <row r="443" spans="1:15" x14ac:dyDescent="0.25">
      <c r="A443" s="9"/>
      <c r="B443" s="9"/>
      <c r="C443" s="9"/>
      <c r="D443" s="9"/>
      <c r="E443" s="9"/>
      <c r="F443" s="9"/>
      <c r="G443" s="9"/>
      <c r="H443" s="9" t="str">
        <f t="shared" ca="1" si="6"/>
        <v/>
      </c>
      <c r="I443" s="9"/>
      <c r="J443" s="9"/>
      <c r="K443" s="9"/>
      <c r="L443" s="9"/>
      <c r="M443" s="9"/>
      <c r="N443" s="9"/>
      <c r="O443" s="9"/>
    </row>
    <row r="444" spans="1:15" x14ac:dyDescent="0.25">
      <c r="A444" s="9"/>
      <c r="B444" s="9"/>
      <c r="C444" s="9"/>
      <c r="D444" s="9"/>
      <c r="E444" s="9"/>
      <c r="F444" s="9"/>
      <c r="G444" s="9"/>
      <c r="H444" s="9" t="str">
        <f t="shared" ca="1" si="6"/>
        <v/>
      </c>
      <c r="I444" s="9"/>
      <c r="J444" s="9"/>
      <c r="K444" s="9"/>
      <c r="L444" s="9"/>
      <c r="M444" s="9"/>
      <c r="N444" s="9"/>
      <c r="O444" s="9"/>
    </row>
    <row r="445" spans="1:15" x14ac:dyDescent="0.25">
      <c r="A445" s="9"/>
      <c r="B445" s="9"/>
      <c r="C445" s="9"/>
      <c r="D445" s="9"/>
      <c r="E445" s="9"/>
      <c r="F445" s="9"/>
      <c r="G445" s="9"/>
      <c r="H445" s="9" t="str">
        <f t="shared" ca="1" si="6"/>
        <v/>
      </c>
      <c r="I445" s="9"/>
      <c r="J445" s="9"/>
      <c r="K445" s="9"/>
      <c r="L445" s="9"/>
      <c r="M445" s="9"/>
      <c r="N445" s="9"/>
      <c r="O445" s="9"/>
    </row>
    <row r="446" spans="1:15" x14ac:dyDescent="0.25">
      <c r="A446" s="9"/>
      <c r="B446" s="9"/>
      <c r="C446" s="9"/>
      <c r="D446" s="9"/>
      <c r="E446" s="9"/>
      <c r="F446" s="9"/>
      <c r="G446" s="9"/>
      <c r="H446" s="9" t="str">
        <f t="shared" ca="1" si="6"/>
        <v/>
      </c>
      <c r="I446" s="9"/>
      <c r="J446" s="9"/>
      <c r="K446" s="9"/>
      <c r="L446" s="9"/>
      <c r="M446" s="9"/>
      <c r="N446" s="9"/>
      <c r="O446" s="9"/>
    </row>
    <row r="447" spans="1:15" x14ac:dyDescent="0.25">
      <c r="A447" s="9"/>
      <c r="B447" s="9"/>
      <c r="C447" s="9"/>
      <c r="D447" s="9"/>
      <c r="E447" s="9"/>
      <c r="F447" s="9"/>
      <c r="G447" s="9"/>
      <c r="H447" s="9" t="str">
        <f t="shared" ca="1" si="6"/>
        <v/>
      </c>
      <c r="I447" s="9"/>
      <c r="J447" s="9"/>
      <c r="K447" s="9"/>
      <c r="L447" s="9"/>
      <c r="M447" s="9"/>
      <c r="N447" s="9"/>
      <c r="O447" s="9"/>
    </row>
    <row r="448" spans="1:15" x14ac:dyDescent="0.25">
      <c r="A448" s="9"/>
      <c r="B448" s="9"/>
      <c r="C448" s="9"/>
      <c r="D448" s="9"/>
      <c r="E448" s="9"/>
      <c r="F448" s="9"/>
      <c r="G448" s="9"/>
      <c r="H448" s="9" t="str">
        <f t="shared" ca="1" si="6"/>
        <v/>
      </c>
      <c r="I448" s="9"/>
      <c r="J448" s="9"/>
      <c r="K448" s="9"/>
      <c r="L448" s="9"/>
      <c r="M448" s="9"/>
      <c r="N448" s="9"/>
      <c r="O448" s="9"/>
    </row>
    <row r="449" spans="1:15" x14ac:dyDescent="0.25">
      <c r="A449" s="9"/>
      <c r="B449" s="9"/>
      <c r="C449" s="9"/>
      <c r="D449" s="9"/>
      <c r="E449" s="9"/>
      <c r="F449" s="9"/>
      <c r="G449" s="9"/>
      <c r="H449" s="9" t="str">
        <f t="shared" ca="1" si="6"/>
        <v/>
      </c>
      <c r="I449" s="9"/>
      <c r="J449" s="9"/>
      <c r="K449" s="9"/>
      <c r="L449" s="9"/>
      <c r="M449" s="9"/>
      <c r="N449" s="9"/>
      <c r="O449" s="9"/>
    </row>
    <row r="450" spans="1:15" x14ac:dyDescent="0.25">
      <c r="A450" s="9"/>
      <c r="B450" s="9"/>
      <c r="C450" s="9"/>
      <c r="D450" s="9"/>
      <c r="E450" s="9"/>
      <c r="F450" s="9"/>
      <c r="G450" s="9"/>
      <c r="H450" s="9" t="str">
        <f t="shared" ca="1" si="6"/>
        <v/>
      </c>
      <c r="I450" s="9"/>
      <c r="J450" s="9"/>
      <c r="K450" s="9"/>
      <c r="L450" s="9"/>
      <c r="M450" s="9"/>
      <c r="N450" s="9"/>
      <c r="O450" s="9"/>
    </row>
    <row r="451" spans="1:15" x14ac:dyDescent="0.25">
      <c r="A451" s="9"/>
      <c r="B451" s="9"/>
      <c r="C451" s="9"/>
      <c r="D451" s="9"/>
      <c r="E451" s="9"/>
      <c r="F451" s="9"/>
      <c r="G451" s="9"/>
      <c r="H451" s="9" t="str">
        <f t="shared" ref="H451:H500" ca="1" si="7">IF(F451="","",F451-TODAY())</f>
        <v/>
      </c>
      <c r="I451" s="9"/>
      <c r="J451" s="9"/>
      <c r="K451" s="9"/>
      <c r="L451" s="9"/>
      <c r="M451" s="9"/>
      <c r="N451" s="9"/>
      <c r="O451" s="9"/>
    </row>
    <row r="452" spans="1:15" x14ac:dyDescent="0.25">
      <c r="A452" s="9"/>
      <c r="B452" s="9"/>
      <c r="C452" s="9"/>
      <c r="D452" s="9"/>
      <c r="E452" s="9"/>
      <c r="F452" s="9"/>
      <c r="G452" s="9"/>
      <c r="H452" s="9" t="str">
        <f t="shared" ca="1" si="7"/>
        <v/>
      </c>
      <c r="I452" s="9"/>
      <c r="J452" s="9"/>
      <c r="K452" s="9"/>
      <c r="L452" s="9"/>
      <c r="M452" s="9"/>
      <c r="N452" s="9"/>
      <c r="O452" s="9"/>
    </row>
    <row r="453" spans="1:15" x14ac:dyDescent="0.25">
      <c r="A453" s="9"/>
      <c r="B453" s="9"/>
      <c r="C453" s="9"/>
      <c r="D453" s="9"/>
      <c r="E453" s="9"/>
      <c r="F453" s="9"/>
      <c r="G453" s="9"/>
      <c r="H453" s="9" t="str">
        <f t="shared" ca="1" si="7"/>
        <v/>
      </c>
      <c r="I453" s="9"/>
      <c r="J453" s="9"/>
      <c r="K453" s="9"/>
      <c r="L453" s="9"/>
      <c r="M453" s="9"/>
      <c r="N453" s="9"/>
      <c r="O453" s="9"/>
    </row>
    <row r="454" spans="1:15" x14ac:dyDescent="0.25">
      <c r="A454" s="9"/>
      <c r="B454" s="9"/>
      <c r="C454" s="9"/>
      <c r="D454" s="9"/>
      <c r="E454" s="9"/>
      <c r="F454" s="9"/>
      <c r="G454" s="9"/>
      <c r="H454" s="9" t="str">
        <f t="shared" ca="1" si="7"/>
        <v/>
      </c>
      <c r="I454" s="9"/>
      <c r="J454" s="9"/>
      <c r="K454" s="9"/>
      <c r="L454" s="9"/>
      <c r="M454" s="9"/>
      <c r="N454" s="9"/>
      <c r="O454" s="9"/>
    </row>
    <row r="455" spans="1:15" x14ac:dyDescent="0.25">
      <c r="A455" s="9"/>
      <c r="B455" s="9"/>
      <c r="C455" s="9"/>
      <c r="D455" s="9"/>
      <c r="E455" s="9"/>
      <c r="F455" s="9"/>
      <c r="G455" s="9"/>
      <c r="H455" s="9" t="str">
        <f t="shared" ca="1" si="7"/>
        <v/>
      </c>
      <c r="I455" s="9"/>
      <c r="J455" s="9"/>
      <c r="K455" s="9"/>
      <c r="L455" s="9"/>
      <c r="M455" s="9"/>
      <c r="N455" s="9"/>
      <c r="O455" s="9"/>
    </row>
    <row r="456" spans="1:15" x14ac:dyDescent="0.25">
      <c r="A456" s="9"/>
      <c r="B456" s="9"/>
      <c r="C456" s="9"/>
      <c r="D456" s="9"/>
      <c r="E456" s="9"/>
      <c r="F456" s="9"/>
      <c r="G456" s="9"/>
      <c r="H456" s="9" t="str">
        <f t="shared" ca="1" si="7"/>
        <v/>
      </c>
      <c r="I456" s="9"/>
      <c r="J456" s="9"/>
      <c r="K456" s="9"/>
      <c r="L456" s="9"/>
      <c r="M456" s="9"/>
      <c r="N456" s="9"/>
      <c r="O456" s="9"/>
    </row>
    <row r="457" spans="1:15" x14ac:dyDescent="0.25">
      <c r="A457" s="9"/>
      <c r="B457" s="9"/>
      <c r="C457" s="9"/>
      <c r="D457" s="9"/>
      <c r="E457" s="9"/>
      <c r="F457" s="9"/>
      <c r="G457" s="9"/>
      <c r="H457" s="9" t="str">
        <f t="shared" ca="1" si="7"/>
        <v/>
      </c>
      <c r="I457" s="9"/>
      <c r="J457" s="9"/>
      <c r="K457" s="9"/>
      <c r="L457" s="9"/>
      <c r="M457" s="9"/>
      <c r="N457" s="9"/>
      <c r="O457" s="9"/>
    </row>
    <row r="458" spans="1:15" x14ac:dyDescent="0.25">
      <c r="A458" s="9"/>
      <c r="B458" s="9"/>
      <c r="C458" s="9"/>
      <c r="D458" s="9"/>
      <c r="E458" s="9"/>
      <c r="F458" s="9"/>
      <c r="G458" s="9"/>
      <c r="H458" s="9" t="str">
        <f t="shared" ca="1" si="7"/>
        <v/>
      </c>
      <c r="I458" s="9"/>
      <c r="J458" s="9"/>
      <c r="K458" s="9"/>
      <c r="L458" s="9"/>
      <c r="M458" s="9"/>
      <c r="N458" s="9"/>
      <c r="O458" s="9"/>
    </row>
    <row r="459" spans="1:15" x14ac:dyDescent="0.25">
      <c r="A459" s="9"/>
      <c r="B459" s="9"/>
      <c r="C459" s="9"/>
      <c r="D459" s="9"/>
      <c r="E459" s="9"/>
      <c r="F459" s="9"/>
      <c r="G459" s="9"/>
      <c r="H459" s="9" t="str">
        <f t="shared" ca="1" si="7"/>
        <v/>
      </c>
      <c r="I459" s="9"/>
      <c r="J459" s="9"/>
      <c r="K459" s="9"/>
      <c r="L459" s="9"/>
      <c r="M459" s="9"/>
      <c r="N459" s="9"/>
      <c r="O459" s="9"/>
    </row>
    <row r="460" spans="1:15" x14ac:dyDescent="0.25">
      <c r="A460" s="9"/>
      <c r="B460" s="9"/>
      <c r="C460" s="9"/>
      <c r="D460" s="9"/>
      <c r="E460" s="9"/>
      <c r="F460" s="9"/>
      <c r="G460" s="9"/>
      <c r="H460" s="9" t="str">
        <f t="shared" ca="1" si="7"/>
        <v/>
      </c>
      <c r="I460" s="9"/>
      <c r="J460" s="9"/>
      <c r="K460" s="9"/>
      <c r="L460" s="9"/>
      <c r="M460" s="9"/>
      <c r="N460" s="9"/>
      <c r="O460" s="9"/>
    </row>
    <row r="461" spans="1:15" x14ac:dyDescent="0.25">
      <c r="A461" s="9"/>
      <c r="B461" s="9"/>
      <c r="C461" s="9"/>
      <c r="D461" s="9"/>
      <c r="E461" s="9"/>
      <c r="F461" s="9"/>
      <c r="G461" s="9"/>
      <c r="H461" s="9" t="str">
        <f t="shared" ca="1" si="7"/>
        <v/>
      </c>
      <c r="I461" s="9"/>
      <c r="J461" s="9"/>
      <c r="K461" s="9"/>
      <c r="L461" s="9"/>
      <c r="M461" s="9"/>
      <c r="N461" s="9"/>
      <c r="O461" s="9"/>
    </row>
    <row r="462" spans="1:15" x14ac:dyDescent="0.25">
      <c r="A462" s="9"/>
      <c r="B462" s="9"/>
      <c r="C462" s="9"/>
      <c r="D462" s="9"/>
      <c r="E462" s="9"/>
      <c r="F462" s="9"/>
      <c r="G462" s="9"/>
      <c r="H462" s="9" t="str">
        <f t="shared" ca="1" si="7"/>
        <v/>
      </c>
      <c r="I462" s="9"/>
      <c r="J462" s="9"/>
      <c r="K462" s="9"/>
      <c r="L462" s="9"/>
      <c r="M462" s="9"/>
      <c r="N462" s="9"/>
      <c r="O462" s="9"/>
    </row>
    <row r="463" spans="1:15" x14ac:dyDescent="0.25">
      <c r="A463" s="9"/>
      <c r="B463" s="9"/>
      <c r="C463" s="9"/>
      <c r="D463" s="9"/>
      <c r="E463" s="9"/>
      <c r="F463" s="9"/>
      <c r="G463" s="9"/>
      <c r="H463" s="9" t="str">
        <f t="shared" ca="1" si="7"/>
        <v/>
      </c>
      <c r="I463" s="9"/>
      <c r="J463" s="9"/>
      <c r="K463" s="9"/>
      <c r="L463" s="9"/>
      <c r="M463" s="9"/>
      <c r="N463" s="9"/>
      <c r="O463" s="9"/>
    </row>
    <row r="464" spans="1:15" x14ac:dyDescent="0.25">
      <c r="A464" s="9"/>
      <c r="B464" s="9"/>
      <c r="C464" s="9"/>
      <c r="D464" s="9"/>
      <c r="E464" s="9"/>
      <c r="F464" s="9"/>
      <c r="G464" s="9"/>
      <c r="H464" s="9" t="str">
        <f t="shared" ca="1" si="7"/>
        <v/>
      </c>
      <c r="I464" s="9"/>
      <c r="J464" s="9"/>
      <c r="K464" s="9"/>
      <c r="L464" s="9"/>
      <c r="M464" s="9"/>
      <c r="N464" s="9"/>
      <c r="O464" s="9"/>
    </row>
    <row r="465" spans="1:15" x14ac:dyDescent="0.25">
      <c r="A465" s="9"/>
      <c r="B465" s="9"/>
      <c r="C465" s="9"/>
      <c r="D465" s="9"/>
      <c r="E465" s="9"/>
      <c r="F465" s="9"/>
      <c r="G465" s="9"/>
      <c r="H465" s="9" t="str">
        <f t="shared" ca="1" si="7"/>
        <v/>
      </c>
      <c r="I465" s="9"/>
      <c r="J465" s="9"/>
      <c r="K465" s="9"/>
      <c r="L465" s="9"/>
      <c r="M465" s="9"/>
      <c r="N465" s="9"/>
      <c r="O465" s="9"/>
    </row>
    <row r="466" spans="1:15" x14ac:dyDescent="0.25">
      <c r="A466" s="9"/>
      <c r="B466" s="9"/>
      <c r="C466" s="9"/>
      <c r="D466" s="9"/>
      <c r="E466" s="9"/>
      <c r="F466" s="9"/>
      <c r="G466" s="9"/>
      <c r="H466" s="9" t="str">
        <f t="shared" ca="1" si="7"/>
        <v/>
      </c>
      <c r="I466" s="9"/>
      <c r="J466" s="9"/>
      <c r="K466" s="9"/>
      <c r="L466" s="9"/>
      <c r="M466" s="9"/>
      <c r="N466" s="9"/>
      <c r="O466" s="9"/>
    </row>
    <row r="467" spans="1:15" x14ac:dyDescent="0.25">
      <c r="A467" s="9"/>
      <c r="B467" s="9"/>
      <c r="C467" s="9"/>
      <c r="D467" s="9"/>
      <c r="E467" s="9"/>
      <c r="F467" s="9"/>
      <c r="G467" s="9"/>
      <c r="H467" s="9" t="str">
        <f t="shared" ca="1" si="7"/>
        <v/>
      </c>
      <c r="I467" s="9"/>
      <c r="J467" s="9"/>
      <c r="K467" s="9"/>
      <c r="L467" s="9"/>
      <c r="M467" s="9"/>
      <c r="N467" s="9"/>
      <c r="O467" s="9"/>
    </row>
    <row r="468" spans="1:15" x14ac:dyDescent="0.25">
      <c r="A468" s="9"/>
      <c r="B468" s="9"/>
      <c r="C468" s="9"/>
      <c r="D468" s="9"/>
      <c r="E468" s="9"/>
      <c r="F468" s="9"/>
      <c r="G468" s="9"/>
      <c r="H468" s="9" t="str">
        <f t="shared" ca="1" si="7"/>
        <v/>
      </c>
      <c r="I468" s="9"/>
      <c r="J468" s="9"/>
      <c r="K468" s="9"/>
      <c r="L468" s="9"/>
      <c r="M468" s="9"/>
      <c r="N468" s="9"/>
      <c r="O468" s="9"/>
    </row>
    <row r="469" spans="1:15" x14ac:dyDescent="0.25">
      <c r="A469" s="9"/>
      <c r="B469" s="9"/>
      <c r="C469" s="9"/>
      <c r="D469" s="9"/>
      <c r="E469" s="9"/>
      <c r="F469" s="9"/>
      <c r="G469" s="9"/>
      <c r="H469" s="9" t="str">
        <f t="shared" ca="1" si="7"/>
        <v/>
      </c>
      <c r="I469" s="9"/>
      <c r="J469" s="9"/>
      <c r="K469" s="9"/>
      <c r="L469" s="9"/>
      <c r="M469" s="9"/>
      <c r="N469" s="9"/>
      <c r="O469" s="9"/>
    </row>
    <row r="470" spans="1:15" x14ac:dyDescent="0.25">
      <c r="A470" s="9"/>
      <c r="B470" s="9"/>
      <c r="C470" s="9"/>
      <c r="D470" s="9"/>
      <c r="E470" s="9"/>
      <c r="F470" s="9"/>
      <c r="G470" s="9"/>
      <c r="H470" s="9" t="str">
        <f t="shared" ca="1" si="7"/>
        <v/>
      </c>
      <c r="I470" s="9"/>
      <c r="J470" s="9"/>
      <c r="K470" s="9"/>
      <c r="L470" s="9"/>
      <c r="M470" s="9"/>
      <c r="N470" s="9"/>
      <c r="O470" s="9"/>
    </row>
    <row r="471" spans="1:15" x14ac:dyDescent="0.25">
      <c r="A471" s="9"/>
      <c r="B471" s="9"/>
      <c r="C471" s="9"/>
      <c r="D471" s="9"/>
      <c r="E471" s="9"/>
      <c r="F471" s="9"/>
      <c r="G471" s="9"/>
      <c r="H471" s="9" t="str">
        <f t="shared" ca="1" si="7"/>
        <v/>
      </c>
      <c r="I471" s="9"/>
      <c r="J471" s="9"/>
      <c r="K471" s="9"/>
      <c r="L471" s="9"/>
      <c r="M471" s="9"/>
      <c r="N471" s="9"/>
      <c r="O471" s="9"/>
    </row>
    <row r="472" spans="1:15" x14ac:dyDescent="0.25">
      <c r="A472" s="9"/>
      <c r="B472" s="9"/>
      <c r="C472" s="9"/>
      <c r="D472" s="9"/>
      <c r="E472" s="9"/>
      <c r="F472" s="9"/>
      <c r="G472" s="9"/>
      <c r="H472" s="9" t="str">
        <f t="shared" ca="1" si="7"/>
        <v/>
      </c>
      <c r="I472" s="9"/>
      <c r="J472" s="9"/>
      <c r="K472" s="9"/>
      <c r="L472" s="9"/>
      <c r="M472" s="9"/>
      <c r="N472" s="9"/>
      <c r="O472" s="9"/>
    </row>
    <row r="473" spans="1:15" x14ac:dyDescent="0.25">
      <c r="A473" s="9"/>
      <c r="B473" s="9"/>
      <c r="C473" s="9"/>
      <c r="D473" s="9"/>
      <c r="E473" s="9"/>
      <c r="F473" s="9"/>
      <c r="G473" s="9"/>
      <c r="H473" s="9" t="str">
        <f t="shared" ca="1" si="7"/>
        <v/>
      </c>
      <c r="I473" s="9"/>
      <c r="J473" s="9"/>
      <c r="K473" s="9"/>
      <c r="L473" s="9"/>
      <c r="M473" s="9"/>
      <c r="N473" s="9"/>
      <c r="O473" s="9"/>
    </row>
    <row r="474" spans="1:15" x14ac:dyDescent="0.25">
      <c r="A474" s="9"/>
      <c r="B474" s="9"/>
      <c r="C474" s="9"/>
      <c r="D474" s="9"/>
      <c r="E474" s="9"/>
      <c r="F474" s="9"/>
      <c r="G474" s="9"/>
      <c r="H474" s="9" t="str">
        <f t="shared" ca="1" si="7"/>
        <v/>
      </c>
      <c r="I474" s="9"/>
      <c r="J474" s="9"/>
      <c r="K474" s="9"/>
      <c r="L474" s="9"/>
      <c r="M474" s="9"/>
      <c r="N474" s="9"/>
      <c r="O474" s="9"/>
    </row>
    <row r="475" spans="1:15" x14ac:dyDescent="0.25">
      <c r="A475" s="9"/>
      <c r="B475" s="9"/>
      <c r="C475" s="9"/>
      <c r="D475" s="9"/>
      <c r="E475" s="9"/>
      <c r="F475" s="9"/>
      <c r="G475" s="9"/>
      <c r="H475" s="9" t="str">
        <f t="shared" ca="1" si="7"/>
        <v/>
      </c>
      <c r="I475" s="9"/>
      <c r="J475" s="9"/>
      <c r="K475" s="9"/>
      <c r="L475" s="9"/>
      <c r="M475" s="9"/>
      <c r="N475" s="9"/>
      <c r="O475" s="9"/>
    </row>
    <row r="476" spans="1:15" x14ac:dyDescent="0.25">
      <c r="A476" s="9"/>
      <c r="B476" s="9"/>
      <c r="C476" s="9"/>
      <c r="D476" s="9"/>
      <c r="E476" s="9"/>
      <c r="F476" s="9"/>
      <c r="G476" s="9"/>
      <c r="H476" s="9" t="str">
        <f t="shared" ca="1" si="7"/>
        <v/>
      </c>
      <c r="I476" s="9"/>
      <c r="J476" s="9"/>
      <c r="K476" s="9"/>
      <c r="L476" s="9"/>
      <c r="M476" s="9"/>
      <c r="N476" s="9"/>
      <c r="O476" s="9"/>
    </row>
    <row r="477" spans="1:15" x14ac:dyDescent="0.25">
      <c r="A477" s="9"/>
      <c r="B477" s="9"/>
      <c r="C477" s="9"/>
      <c r="D477" s="9"/>
      <c r="E477" s="9"/>
      <c r="F477" s="9"/>
      <c r="G477" s="9"/>
      <c r="H477" s="9" t="str">
        <f t="shared" ca="1" si="7"/>
        <v/>
      </c>
      <c r="I477" s="9"/>
      <c r="J477" s="9"/>
      <c r="K477" s="9"/>
      <c r="L477" s="9"/>
      <c r="M477" s="9"/>
      <c r="N477" s="9"/>
      <c r="O477" s="9"/>
    </row>
    <row r="478" spans="1:15" x14ac:dyDescent="0.25">
      <c r="A478" s="9"/>
      <c r="B478" s="9"/>
      <c r="C478" s="9"/>
      <c r="D478" s="9"/>
      <c r="E478" s="9"/>
      <c r="F478" s="9"/>
      <c r="G478" s="9"/>
      <c r="H478" s="9" t="str">
        <f t="shared" ca="1" si="7"/>
        <v/>
      </c>
      <c r="I478" s="9"/>
      <c r="J478" s="9"/>
      <c r="K478" s="9"/>
      <c r="L478" s="9"/>
      <c r="M478" s="9"/>
      <c r="N478" s="9"/>
      <c r="O478" s="9"/>
    </row>
    <row r="479" spans="1:15" x14ac:dyDescent="0.25">
      <c r="A479" s="9"/>
      <c r="B479" s="9"/>
      <c r="C479" s="9"/>
      <c r="D479" s="9"/>
      <c r="E479" s="9"/>
      <c r="F479" s="9"/>
      <c r="G479" s="9"/>
      <c r="H479" s="9" t="str">
        <f t="shared" ca="1" si="7"/>
        <v/>
      </c>
      <c r="I479" s="9"/>
      <c r="J479" s="9"/>
      <c r="K479" s="9"/>
      <c r="L479" s="9"/>
      <c r="M479" s="9"/>
      <c r="N479" s="9"/>
      <c r="O479" s="9"/>
    </row>
    <row r="480" spans="1:15" x14ac:dyDescent="0.25">
      <c r="A480" s="9"/>
      <c r="B480" s="9"/>
      <c r="C480" s="9"/>
      <c r="D480" s="9"/>
      <c r="E480" s="9"/>
      <c r="F480" s="9"/>
      <c r="G480" s="9"/>
      <c r="H480" s="9" t="str">
        <f t="shared" ca="1" si="7"/>
        <v/>
      </c>
      <c r="I480" s="9"/>
      <c r="J480" s="9"/>
      <c r="K480" s="9"/>
      <c r="L480" s="9"/>
      <c r="M480" s="9"/>
      <c r="N480" s="9"/>
      <c r="O480" s="9"/>
    </row>
    <row r="481" spans="1:15" x14ac:dyDescent="0.25">
      <c r="A481" s="9"/>
      <c r="B481" s="9"/>
      <c r="C481" s="9"/>
      <c r="D481" s="9"/>
      <c r="E481" s="9"/>
      <c r="F481" s="9"/>
      <c r="G481" s="9"/>
      <c r="H481" s="9" t="str">
        <f t="shared" ca="1" si="7"/>
        <v/>
      </c>
      <c r="I481" s="9"/>
      <c r="J481" s="9"/>
      <c r="K481" s="9"/>
      <c r="L481" s="9"/>
      <c r="M481" s="9"/>
      <c r="N481" s="9"/>
      <c r="O481" s="9"/>
    </row>
    <row r="482" spans="1:15" x14ac:dyDescent="0.25">
      <c r="A482" s="9"/>
      <c r="B482" s="9"/>
      <c r="C482" s="9"/>
      <c r="D482" s="9"/>
      <c r="E482" s="9"/>
      <c r="F482" s="9"/>
      <c r="G482" s="9"/>
      <c r="H482" s="9" t="str">
        <f t="shared" ca="1" si="7"/>
        <v/>
      </c>
      <c r="I482" s="9"/>
      <c r="J482" s="9"/>
      <c r="K482" s="9"/>
      <c r="L482" s="9"/>
      <c r="M482" s="9"/>
      <c r="N482" s="9"/>
      <c r="O482" s="9"/>
    </row>
    <row r="483" spans="1:15" x14ac:dyDescent="0.25">
      <c r="A483" s="9"/>
      <c r="B483" s="9"/>
      <c r="C483" s="9"/>
      <c r="D483" s="9"/>
      <c r="E483" s="9"/>
      <c r="F483" s="9"/>
      <c r="G483" s="9"/>
      <c r="H483" s="9" t="str">
        <f t="shared" ca="1" si="7"/>
        <v/>
      </c>
      <c r="I483" s="9"/>
      <c r="J483" s="9"/>
      <c r="K483" s="9"/>
      <c r="L483" s="9"/>
      <c r="M483" s="9"/>
      <c r="N483" s="9"/>
      <c r="O483" s="9"/>
    </row>
    <row r="484" spans="1:15" x14ac:dyDescent="0.25">
      <c r="A484" s="9"/>
      <c r="B484" s="9"/>
      <c r="C484" s="9"/>
      <c r="D484" s="9"/>
      <c r="E484" s="9"/>
      <c r="F484" s="9"/>
      <c r="G484" s="9"/>
      <c r="H484" s="9" t="str">
        <f t="shared" ca="1" si="7"/>
        <v/>
      </c>
      <c r="I484" s="9"/>
      <c r="J484" s="9"/>
      <c r="K484" s="9"/>
      <c r="L484" s="9"/>
      <c r="M484" s="9"/>
      <c r="N484" s="9"/>
      <c r="O484" s="9"/>
    </row>
    <row r="485" spans="1:15" x14ac:dyDescent="0.25">
      <c r="A485" s="9"/>
      <c r="B485" s="9"/>
      <c r="C485" s="9"/>
      <c r="D485" s="9"/>
      <c r="E485" s="9"/>
      <c r="F485" s="9"/>
      <c r="G485" s="9"/>
      <c r="H485" s="9" t="str">
        <f t="shared" ca="1" si="7"/>
        <v/>
      </c>
      <c r="I485" s="9"/>
      <c r="J485" s="9"/>
      <c r="K485" s="9"/>
      <c r="L485" s="9"/>
      <c r="M485" s="9"/>
      <c r="N485" s="9"/>
      <c r="O485" s="9"/>
    </row>
    <row r="486" spans="1:15" x14ac:dyDescent="0.25">
      <c r="A486" s="9"/>
      <c r="B486" s="9"/>
      <c r="C486" s="9"/>
      <c r="D486" s="9"/>
      <c r="E486" s="9"/>
      <c r="F486" s="9"/>
      <c r="G486" s="9"/>
      <c r="H486" s="9" t="str">
        <f t="shared" ca="1" si="7"/>
        <v/>
      </c>
      <c r="I486" s="9"/>
      <c r="J486" s="9"/>
      <c r="K486" s="9"/>
      <c r="L486" s="9"/>
      <c r="M486" s="9"/>
      <c r="N486" s="9"/>
      <c r="O486" s="9"/>
    </row>
    <row r="487" spans="1:15" x14ac:dyDescent="0.25">
      <c r="A487" s="9"/>
      <c r="B487" s="9"/>
      <c r="C487" s="9"/>
      <c r="D487" s="9"/>
      <c r="E487" s="9"/>
      <c r="F487" s="9"/>
      <c r="G487" s="9"/>
      <c r="H487" s="9" t="str">
        <f t="shared" ca="1" si="7"/>
        <v/>
      </c>
      <c r="I487" s="9"/>
      <c r="J487" s="9"/>
      <c r="K487" s="9"/>
      <c r="L487" s="9"/>
      <c r="M487" s="9"/>
      <c r="N487" s="9"/>
      <c r="O487" s="9"/>
    </row>
    <row r="488" spans="1:15" x14ac:dyDescent="0.25">
      <c r="A488" s="9"/>
      <c r="B488" s="9"/>
      <c r="C488" s="9"/>
      <c r="D488" s="9"/>
      <c r="E488" s="9"/>
      <c r="F488" s="9"/>
      <c r="G488" s="9"/>
      <c r="H488" s="9" t="str">
        <f t="shared" ca="1" si="7"/>
        <v/>
      </c>
      <c r="I488" s="9"/>
      <c r="J488" s="9"/>
      <c r="K488" s="9"/>
      <c r="L488" s="9"/>
      <c r="M488" s="9"/>
      <c r="N488" s="9"/>
      <c r="O488" s="9"/>
    </row>
    <row r="489" spans="1:15" x14ac:dyDescent="0.25">
      <c r="A489" s="9"/>
      <c r="B489" s="9"/>
      <c r="C489" s="9"/>
      <c r="D489" s="9"/>
      <c r="E489" s="9"/>
      <c r="F489" s="9"/>
      <c r="G489" s="9"/>
      <c r="H489" s="9" t="str">
        <f t="shared" ca="1" si="7"/>
        <v/>
      </c>
      <c r="I489" s="9"/>
      <c r="J489" s="9"/>
      <c r="K489" s="9"/>
      <c r="L489" s="9"/>
      <c r="M489" s="9"/>
      <c r="N489" s="9"/>
      <c r="O489" s="9"/>
    </row>
    <row r="490" spans="1:15" x14ac:dyDescent="0.25">
      <c r="A490" s="9"/>
      <c r="B490" s="9"/>
      <c r="C490" s="9"/>
      <c r="D490" s="9"/>
      <c r="E490" s="9"/>
      <c r="F490" s="9"/>
      <c r="G490" s="9"/>
      <c r="H490" s="9" t="str">
        <f t="shared" ca="1" si="7"/>
        <v/>
      </c>
      <c r="I490" s="9"/>
      <c r="J490" s="9"/>
      <c r="K490" s="9"/>
      <c r="L490" s="9"/>
      <c r="M490" s="9"/>
      <c r="N490" s="9"/>
      <c r="O490" s="9"/>
    </row>
    <row r="491" spans="1:15" x14ac:dyDescent="0.25">
      <c r="A491" s="9"/>
      <c r="B491" s="9"/>
      <c r="C491" s="9"/>
      <c r="D491" s="9"/>
      <c r="E491" s="9"/>
      <c r="F491" s="9"/>
      <c r="G491" s="9"/>
      <c r="H491" s="9" t="str">
        <f t="shared" ca="1" si="7"/>
        <v/>
      </c>
      <c r="I491" s="9"/>
      <c r="J491" s="9"/>
      <c r="K491" s="9"/>
      <c r="L491" s="9"/>
      <c r="M491" s="9"/>
      <c r="N491" s="9"/>
      <c r="O491" s="9"/>
    </row>
    <row r="492" spans="1:15" x14ac:dyDescent="0.25">
      <c r="A492" s="9"/>
      <c r="B492" s="9"/>
      <c r="C492" s="9"/>
      <c r="D492" s="9"/>
      <c r="E492" s="9"/>
      <c r="F492" s="9"/>
      <c r="G492" s="9"/>
      <c r="H492" s="9" t="str">
        <f t="shared" ca="1" si="7"/>
        <v/>
      </c>
      <c r="I492" s="9"/>
      <c r="J492" s="9"/>
      <c r="K492" s="9"/>
      <c r="L492" s="9"/>
      <c r="M492" s="9"/>
      <c r="N492" s="9"/>
      <c r="O492" s="9"/>
    </row>
    <row r="493" spans="1:15" x14ac:dyDescent="0.25">
      <c r="A493" s="9"/>
      <c r="B493" s="9"/>
      <c r="C493" s="9"/>
      <c r="D493" s="9"/>
      <c r="E493" s="9"/>
      <c r="F493" s="9"/>
      <c r="G493" s="9"/>
      <c r="H493" s="9" t="str">
        <f t="shared" ca="1" si="7"/>
        <v/>
      </c>
      <c r="I493" s="9"/>
      <c r="J493" s="9"/>
      <c r="K493" s="9"/>
      <c r="L493" s="9"/>
      <c r="M493" s="9"/>
      <c r="N493" s="9"/>
      <c r="O493" s="9"/>
    </row>
    <row r="494" spans="1:15" x14ac:dyDescent="0.25">
      <c r="A494" s="9"/>
      <c r="B494" s="9"/>
      <c r="C494" s="9"/>
      <c r="D494" s="9"/>
      <c r="E494" s="9"/>
      <c r="F494" s="9"/>
      <c r="G494" s="9"/>
      <c r="H494" s="9" t="str">
        <f t="shared" ca="1" si="7"/>
        <v/>
      </c>
      <c r="I494" s="9"/>
      <c r="J494" s="9"/>
      <c r="K494" s="9"/>
      <c r="L494" s="9"/>
      <c r="M494" s="9"/>
      <c r="N494" s="9"/>
      <c r="O494" s="9"/>
    </row>
    <row r="495" spans="1:15" x14ac:dyDescent="0.25">
      <c r="A495" s="9"/>
      <c r="B495" s="9"/>
      <c r="C495" s="9"/>
      <c r="D495" s="9"/>
      <c r="E495" s="9"/>
      <c r="F495" s="9"/>
      <c r="G495" s="9"/>
      <c r="H495" s="9" t="str">
        <f t="shared" ca="1" si="7"/>
        <v/>
      </c>
      <c r="I495" s="9"/>
      <c r="J495" s="9"/>
      <c r="K495" s="9"/>
      <c r="L495" s="9"/>
      <c r="M495" s="9"/>
      <c r="N495" s="9"/>
      <c r="O495" s="9"/>
    </row>
    <row r="496" spans="1:15" x14ac:dyDescent="0.25">
      <c r="A496" s="9"/>
      <c r="B496" s="9"/>
      <c r="C496" s="9"/>
      <c r="D496" s="9"/>
      <c r="E496" s="9"/>
      <c r="F496" s="9"/>
      <c r="G496" s="9"/>
      <c r="H496" s="9" t="str">
        <f t="shared" ca="1" si="7"/>
        <v/>
      </c>
      <c r="I496" s="9"/>
      <c r="J496" s="9"/>
      <c r="K496" s="9"/>
      <c r="L496" s="9"/>
      <c r="M496" s="9"/>
      <c r="N496" s="9"/>
      <c r="O496" s="9"/>
    </row>
    <row r="497" spans="1:15" x14ac:dyDescent="0.25">
      <c r="A497" s="9"/>
      <c r="B497" s="9"/>
      <c r="C497" s="9"/>
      <c r="D497" s="9"/>
      <c r="E497" s="9"/>
      <c r="F497" s="9"/>
      <c r="G497" s="9"/>
      <c r="H497" s="9" t="str">
        <f t="shared" ca="1" si="7"/>
        <v/>
      </c>
      <c r="I497" s="9"/>
      <c r="J497" s="9"/>
      <c r="K497" s="9"/>
      <c r="L497" s="9"/>
      <c r="M497" s="9"/>
      <c r="N497" s="9"/>
      <c r="O497" s="9"/>
    </row>
    <row r="498" spans="1:15" x14ac:dyDescent="0.25">
      <c r="A498" s="9"/>
      <c r="B498" s="9"/>
      <c r="C498" s="9"/>
      <c r="D498" s="9"/>
      <c r="E498" s="9"/>
      <c r="F498" s="9"/>
      <c r="G498" s="9"/>
      <c r="H498" s="9" t="str">
        <f t="shared" ca="1" si="7"/>
        <v/>
      </c>
      <c r="I498" s="9"/>
      <c r="J498" s="9"/>
      <c r="K498" s="9"/>
      <c r="L498" s="9"/>
      <c r="M498" s="9"/>
      <c r="N498" s="9"/>
      <c r="O498" s="9"/>
    </row>
    <row r="499" spans="1:15" x14ac:dyDescent="0.25">
      <c r="A499" s="9"/>
      <c r="B499" s="9"/>
      <c r="C499" s="9"/>
      <c r="D499" s="9"/>
      <c r="E499" s="9"/>
      <c r="F499" s="9"/>
      <c r="G499" s="9"/>
      <c r="H499" s="9" t="str">
        <f t="shared" ca="1" si="7"/>
        <v/>
      </c>
      <c r="I499" s="9"/>
      <c r="J499" s="9"/>
      <c r="K499" s="9"/>
      <c r="L499" s="9"/>
      <c r="M499" s="9"/>
      <c r="N499" s="9"/>
      <c r="O499" s="9"/>
    </row>
    <row r="500" spans="1:15" x14ac:dyDescent="0.25">
      <c r="A500" s="9"/>
      <c r="B500" s="9"/>
      <c r="C500" s="9"/>
      <c r="D500" s="9"/>
      <c r="E500" s="9"/>
      <c r="F500" s="9"/>
      <c r="G500" s="9"/>
      <c r="H500" s="9" t="str">
        <f t="shared" ca="1" si="7"/>
        <v/>
      </c>
      <c r="I500" s="9"/>
      <c r="J500" s="9"/>
      <c r="K500" s="9"/>
      <c r="L500" s="9"/>
      <c r="M500" s="9"/>
      <c r="N500" s="9"/>
      <c r="O500" s="9"/>
    </row>
  </sheetData>
  <mergeCells count="1">
    <mergeCell ref="A1:O1"/>
  </mergeCells>
  <conditionalFormatting sqref="F3:F500">
    <cfRule type="expression" dxfId="29" priority="2">
      <formula>AND($F3&lt;&gt;"",$F3&lt;TODAY())</formula>
    </cfRule>
    <cfRule type="expression" dxfId="28" priority="3">
      <formula>AND($F3&lt;&gt;"",$F3&gt;=TODAY(),$F3-TODAY()&lt;=365)</formula>
    </cfRule>
  </conditionalFormatting>
  <conditionalFormatting sqref="H3:H500">
    <cfRule type="expression" dxfId="27" priority="4">
      <formula>AND(ISNUMBER(H3),H3&lt;0)</formula>
    </cfRule>
    <cfRule type="expression" dxfId="26" priority="5">
      <formula>AND(ISNUMBER(H3),H3&gt;=0,H3&lt;=365)</formula>
    </cfRule>
  </conditionalFormatting>
  <conditionalFormatting sqref="I3:I500">
    <cfRule type="expression" dxfId="25" priority="6">
      <formula>$I3="Critical"</formula>
    </cfRule>
    <cfRule type="expression" dxfId="24" priority="7">
      <formula>$I3="High"</formula>
    </cfRule>
  </conditionalFormatting>
  <dataValidations count="4">
    <dataValidation type="list" allowBlank="1" showErrorMessage="1" errorTitle="Invalid entry" error="Please choose a value from the drop-down list." sqref="E3:E500" xr:uid="{00000000-0002-0000-0500-000000000000}">
      <formula1>"Actively maintained,No longer maintained,Abandoned,Unknown"</formula1>
      <formula2>0</formula2>
    </dataValidation>
    <dataValidation type="list" allowBlank="1" showErrorMessage="1" errorTitle="Invalid entry" error="Please choose a value from the drop-down list." sqref="I3:I500" xr:uid="{00000000-0002-0000-0500-000001000000}">
      <formula1>"Low,Medium,High,Critical"</formula1>
      <formula2>0</formula2>
    </dataValidation>
    <dataValidation type="list" allowBlank="1" showErrorMessage="1" errorTitle="Invalid entry" error="Please choose a value from the drop-down list." sqref="O3:O500" xr:uid="{00000000-0002-0000-0500-000002000000}">
      <formula1>"Planned,In Progress,Complete,Risk Accepted"</formula1>
      <formula2>0</formula2>
    </dataValidation>
    <dataValidation type="date" operator="greaterThan" allowBlank="1" showErrorMessage="1" errorTitle="Invalid date" error="Enter a real date (YYYY-MM-DD)." sqref="F3:G500 N3:N500" xr:uid="{00000000-0002-0000-0500-000003000000}">
      <formula1>DATE(1990,1,1)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 &amp;K008000 Classification: Internal#_x000D_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XFD3"/>
    </sheetView>
  </sheetViews>
  <sheetFormatPr defaultColWidth="8.5703125" defaultRowHeight="15" x14ac:dyDescent="0.25"/>
  <cols>
    <col min="1" max="1" width="6" customWidth="1"/>
    <col min="2" max="2" width="28" customWidth="1"/>
    <col min="3" max="3" width="30" customWidth="1"/>
    <col min="4" max="4" width="26" customWidth="1"/>
    <col min="5" max="5" width="34" customWidth="1"/>
    <col min="6" max="6" width="16" customWidth="1"/>
    <col min="7" max="7" width="28" customWidth="1"/>
  </cols>
  <sheetData>
    <row r="1" spans="1:7" ht="30" customHeight="1" x14ac:dyDescent="0.25">
      <c r="A1" s="19" t="s">
        <v>1245</v>
      </c>
      <c r="B1" s="20"/>
      <c r="C1" s="20"/>
      <c r="D1" s="20"/>
      <c r="E1" s="20"/>
      <c r="F1" s="20"/>
      <c r="G1" s="21"/>
    </row>
    <row r="2" spans="1:7" ht="26.1" customHeight="1" x14ac:dyDescent="0.25">
      <c r="A2" s="4" t="s">
        <v>8</v>
      </c>
      <c r="B2" s="4" t="s">
        <v>1246</v>
      </c>
      <c r="C2" s="4" t="s">
        <v>1247</v>
      </c>
      <c r="D2" s="4" t="s">
        <v>1248</v>
      </c>
      <c r="E2" s="4" t="s">
        <v>256</v>
      </c>
      <c r="F2" s="4" t="s">
        <v>1249</v>
      </c>
      <c r="G2" s="4" t="s">
        <v>6</v>
      </c>
    </row>
    <row r="3" spans="1:7" x14ac:dyDescent="0.25">
      <c r="A3" s="9"/>
      <c r="B3" s="9"/>
      <c r="C3" s="9"/>
      <c r="D3" s="9"/>
      <c r="E3" s="9"/>
      <c r="F3" s="9"/>
      <c r="G3" s="9"/>
    </row>
    <row r="4" spans="1:7" x14ac:dyDescent="0.25">
      <c r="A4" s="9"/>
      <c r="B4" s="9"/>
      <c r="C4" s="9"/>
      <c r="D4" s="9"/>
      <c r="E4" s="9"/>
      <c r="F4" s="9"/>
      <c r="G4" s="9"/>
    </row>
    <row r="5" spans="1:7" x14ac:dyDescent="0.25">
      <c r="A5" s="9"/>
      <c r="B5" s="9"/>
      <c r="C5" s="9"/>
      <c r="D5" s="9"/>
      <c r="E5" s="9"/>
      <c r="F5" s="9"/>
      <c r="G5" s="9"/>
    </row>
    <row r="6" spans="1:7" x14ac:dyDescent="0.25">
      <c r="A6" s="9"/>
      <c r="B6" s="9"/>
      <c r="C6" s="9"/>
      <c r="D6" s="9"/>
      <c r="E6" s="9"/>
      <c r="F6" s="9"/>
      <c r="G6" s="9"/>
    </row>
    <row r="7" spans="1:7" x14ac:dyDescent="0.25">
      <c r="A7" s="9"/>
      <c r="B7" s="9"/>
      <c r="C7" s="9"/>
      <c r="D7" s="9"/>
      <c r="E7" s="9"/>
      <c r="F7" s="9"/>
      <c r="G7" s="9"/>
    </row>
    <row r="8" spans="1:7" x14ac:dyDescent="0.25">
      <c r="A8" s="9"/>
      <c r="B8" s="9"/>
      <c r="C8" s="9"/>
      <c r="D8" s="9"/>
      <c r="E8" s="9"/>
      <c r="F8" s="9"/>
      <c r="G8" s="9"/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9"/>
      <c r="B10" s="9"/>
      <c r="C10" s="9"/>
      <c r="D10" s="9"/>
      <c r="E10" s="9"/>
      <c r="F10" s="9"/>
      <c r="G10" s="9"/>
    </row>
    <row r="11" spans="1:7" x14ac:dyDescent="0.25">
      <c r="A11" s="9"/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/>
      <c r="B13" s="9"/>
      <c r="C13" s="9"/>
      <c r="D13" s="9"/>
      <c r="E13" s="9"/>
      <c r="F13" s="9"/>
      <c r="G13" s="9"/>
    </row>
    <row r="14" spans="1:7" x14ac:dyDescent="0.25">
      <c r="A14" s="9"/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  <row r="27" spans="1:7" x14ac:dyDescent="0.25">
      <c r="A27" s="9"/>
      <c r="B27" s="9"/>
      <c r="C27" s="9"/>
      <c r="D27" s="9"/>
      <c r="E27" s="9"/>
      <c r="F27" s="9"/>
      <c r="G27" s="9"/>
    </row>
    <row r="28" spans="1:7" x14ac:dyDescent="0.25">
      <c r="A28" s="9"/>
      <c r="B28" s="9"/>
      <c r="C28" s="9"/>
      <c r="D28" s="9"/>
      <c r="E28" s="9"/>
      <c r="F28" s="9"/>
      <c r="G28" s="9"/>
    </row>
    <row r="29" spans="1:7" x14ac:dyDescent="0.25">
      <c r="A29" s="9"/>
      <c r="B29" s="9"/>
      <c r="C29" s="9"/>
      <c r="D29" s="9"/>
      <c r="E29" s="9"/>
      <c r="F29" s="9"/>
      <c r="G29" s="9"/>
    </row>
    <row r="30" spans="1:7" x14ac:dyDescent="0.25">
      <c r="A30" s="9"/>
      <c r="B30" s="9"/>
      <c r="C30" s="9"/>
      <c r="D30" s="9"/>
      <c r="E30" s="9"/>
      <c r="F30" s="9"/>
      <c r="G30" s="9"/>
    </row>
    <row r="31" spans="1:7" x14ac:dyDescent="0.25">
      <c r="A31" s="9"/>
      <c r="B31" s="9"/>
      <c r="C31" s="9"/>
      <c r="D31" s="9"/>
      <c r="E31" s="9"/>
      <c r="F31" s="9"/>
      <c r="G31" s="9"/>
    </row>
    <row r="32" spans="1:7" x14ac:dyDescent="0.25">
      <c r="A32" s="9"/>
      <c r="B32" s="9"/>
      <c r="C32" s="9"/>
      <c r="D32" s="9"/>
      <c r="E32" s="9"/>
      <c r="F32" s="9"/>
      <c r="G32" s="9"/>
    </row>
    <row r="33" spans="1:7" x14ac:dyDescent="0.25">
      <c r="A33" s="9"/>
      <c r="B33" s="9"/>
      <c r="C33" s="9"/>
      <c r="D33" s="9"/>
      <c r="E33" s="9"/>
      <c r="F33" s="9"/>
      <c r="G33" s="9"/>
    </row>
    <row r="34" spans="1:7" x14ac:dyDescent="0.25">
      <c r="A34" s="9"/>
      <c r="B34" s="9"/>
      <c r="C34" s="9"/>
      <c r="D34" s="9"/>
      <c r="E34" s="9"/>
      <c r="F34" s="9"/>
      <c r="G34" s="9"/>
    </row>
    <row r="35" spans="1:7" x14ac:dyDescent="0.25">
      <c r="A35" s="9"/>
      <c r="B35" s="9"/>
      <c r="C35" s="9"/>
      <c r="D35" s="9"/>
      <c r="E35" s="9"/>
      <c r="F35" s="9"/>
      <c r="G35" s="9"/>
    </row>
    <row r="36" spans="1:7" x14ac:dyDescent="0.25">
      <c r="A36" s="9"/>
      <c r="B36" s="9"/>
      <c r="C36" s="9"/>
      <c r="D36" s="9"/>
      <c r="E36" s="9"/>
      <c r="F36" s="9"/>
      <c r="G36" s="9"/>
    </row>
    <row r="37" spans="1:7" x14ac:dyDescent="0.25">
      <c r="A37" s="9"/>
      <c r="B37" s="9"/>
      <c r="C37" s="9"/>
      <c r="D37" s="9"/>
      <c r="E37" s="9"/>
      <c r="F37" s="9"/>
      <c r="G37" s="9"/>
    </row>
    <row r="38" spans="1:7" x14ac:dyDescent="0.25">
      <c r="A38" s="9"/>
      <c r="B38" s="9"/>
      <c r="C38" s="9"/>
      <c r="D38" s="9"/>
      <c r="E38" s="9"/>
      <c r="F38" s="9"/>
      <c r="G38" s="9"/>
    </row>
    <row r="39" spans="1:7" x14ac:dyDescent="0.25">
      <c r="A39" s="9"/>
      <c r="B39" s="9"/>
      <c r="C39" s="9"/>
      <c r="D39" s="9"/>
      <c r="E39" s="9"/>
      <c r="F39" s="9"/>
      <c r="G39" s="9"/>
    </row>
    <row r="40" spans="1:7" x14ac:dyDescent="0.25">
      <c r="A40" s="9"/>
      <c r="B40" s="9"/>
      <c r="C40" s="9"/>
      <c r="D40" s="9"/>
      <c r="E40" s="9"/>
      <c r="F40" s="9"/>
      <c r="G40" s="9"/>
    </row>
    <row r="41" spans="1:7" x14ac:dyDescent="0.25">
      <c r="A41" s="9"/>
      <c r="B41" s="9"/>
      <c r="C41" s="9"/>
      <c r="D41" s="9"/>
      <c r="E41" s="9"/>
      <c r="F41" s="9"/>
      <c r="G41" s="9"/>
    </row>
    <row r="42" spans="1:7" x14ac:dyDescent="0.25">
      <c r="A42" s="9"/>
      <c r="B42" s="9"/>
      <c r="C42" s="9"/>
      <c r="D42" s="9"/>
      <c r="E42" s="9"/>
      <c r="F42" s="9"/>
      <c r="G42" s="9"/>
    </row>
    <row r="43" spans="1:7" x14ac:dyDescent="0.25">
      <c r="A43" s="9"/>
      <c r="B43" s="9"/>
      <c r="C43" s="9"/>
      <c r="D43" s="9"/>
      <c r="E43" s="9"/>
      <c r="F43" s="9"/>
      <c r="G43" s="9"/>
    </row>
    <row r="44" spans="1:7" x14ac:dyDescent="0.25">
      <c r="A44" s="9"/>
      <c r="B44" s="9"/>
      <c r="C44" s="9"/>
      <c r="D44" s="9"/>
      <c r="E44" s="9"/>
      <c r="F44" s="9"/>
      <c r="G44" s="9"/>
    </row>
    <row r="45" spans="1:7" x14ac:dyDescent="0.25">
      <c r="A45" s="9"/>
      <c r="B45" s="9"/>
      <c r="C45" s="9"/>
      <c r="D45" s="9"/>
      <c r="E45" s="9"/>
      <c r="F45" s="9"/>
      <c r="G45" s="9"/>
    </row>
    <row r="46" spans="1:7" x14ac:dyDescent="0.25">
      <c r="A46" s="9"/>
      <c r="B46" s="9"/>
      <c r="C46" s="9"/>
      <c r="D46" s="9"/>
      <c r="E46" s="9"/>
      <c r="F46" s="9"/>
      <c r="G46" s="9"/>
    </row>
    <row r="47" spans="1:7" x14ac:dyDescent="0.25">
      <c r="A47" s="9"/>
      <c r="B47" s="9"/>
      <c r="C47" s="9"/>
      <c r="D47" s="9"/>
      <c r="E47" s="9"/>
      <c r="F47" s="9"/>
      <c r="G47" s="9"/>
    </row>
    <row r="48" spans="1:7" x14ac:dyDescent="0.25">
      <c r="A48" s="9"/>
      <c r="B48" s="9"/>
      <c r="C48" s="9"/>
      <c r="D48" s="9"/>
      <c r="E48" s="9"/>
      <c r="F48" s="9"/>
      <c r="G48" s="9"/>
    </row>
    <row r="49" spans="1:7" x14ac:dyDescent="0.25">
      <c r="A49" s="9"/>
      <c r="B49" s="9"/>
      <c r="C49" s="9"/>
      <c r="D49" s="9"/>
      <c r="E49" s="9"/>
      <c r="F49" s="9"/>
      <c r="G49" s="9"/>
    </row>
    <row r="50" spans="1:7" x14ac:dyDescent="0.25">
      <c r="A50" s="9"/>
      <c r="B50" s="9"/>
      <c r="C50" s="9"/>
      <c r="D50" s="9"/>
      <c r="E50" s="9"/>
      <c r="F50" s="9"/>
      <c r="G50" s="9"/>
    </row>
    <row r="51" spans="1:7" x14ac:dyDescent="0.25">
      <c r="A51" s="9"/>
      <c r="B51" s="9"/>
      <c r="C51" s="9"/>
      <c r="D51" s="9"/>
      <c r="E51" s="9"/>
      <c r="F51" s="9"/>
      <c r="G51" s="9"/>
    </row>
    <row r="52" spans="1:7" x14ac:dyDescent="0.25">
      <c r="A52" s="9"/>
      <c r="B52" s="9"/>
      <c r="C52" s="9"/>
      <c r="D52" s="9"/>
      <c r="E52" s="9"/>
      <c r="F52" s="9"/>
      <c r="G52" s="9"/>
    </row>
    <row r="53" spans="1:7" x14ac:dyDescent="0.25">
      <c r="A53" s="9"/>
      <c r="B53" s="9"/>
      <c r="C53" s="9"/>
      <c r="D53" s="9"/>
      <c r="E53" s="9"/>
      <c r="F53" s="9"/>
      <c r="G53" s="9"/>
    </row>
    <row r="54" spans="1:7" x14ac:dyDescent="0.25">
      <c r="A54" s="9"/>
      <c r="B54" s="9"/>
      <c r="C54" s="9"/>
      <c r="D54" s="9"/>
      <c r="E54" s="9"/>
      <c r="F54" s="9"/>
      <c r="G54" s="9"/>
    </row>
    <row r="55" spans="1:7" x14ac:dyDescent="0.25">
      <c r="A55" s="9"/>
      <c r="B55" s="9"/>
      <c r="C55" s="9"/>
      <c r="D55" s="9"/>
      <c r="E55" s="9"/>
      <c r="F55" s="9"/>
      <c r="G55" s="9"/>
    </row>
    <row r="56" spans="1:7" x14ac:dyDescent="0.25">
      <c r="A56" s="9"/>
      <c r="B56" s="9"/>
      <c r="C56" s="9"/>
      <c r="D56" s="9"/>
      <c r="E56" s="9"/>
      <c r="F56" s="9"/>
      <c r="G56" s="9"/>
    </row>
    <row r="57" spans="1:7" x14ac:dyDescent="0.25">
      <c r="A57" s="9"/>
      <c r="B57" s="9"/>
      <c r="C57" s="9"/>
      <c r="D57" s="9"/>
      <c r="E57" s="9"/>
      <c r="F57" s="9"/>
      <c r="G57" s="9"/>
    </row>
    <row r="58" spans="1:7" x14ac:dyDescent="0.25">
      <c r="A58" s="9"/>
      <c r="B58" s="9"/>
      <c r="C58" s="9"/>
      <c r="D58" s="9"/>
      <c r="E58" s="9"/>
      <c r="F58" s="9"/>
      <c r="G58" s="9"/>
    </row>
    <row r="59" spans="1:7" x14ac:dyDescent="0.25">
      <c r="A59" s="9"/>
      <c r="B59" s="9"/>
      <c r="C59" s="9"/>
      <c r="D59" s="9"/>
      <c r="E59" s="9"/>
      <c r="F59" s="9"/>
      <c r="G59" s="9"/>
    </row>
    <row r="60" spans="1:7" x14ac:dyDescent="0.25">
      <c r="A60" s="9"/>
      <c r="B60" s="9"/>
      <c r="C60" s="9"/>
      <c r="D60" s="9"/>
      <c r="E60" s="9"/>
      <c r="F60" s="9"/>
      <c r="G60" s="9"/>
    </row>
    <row r="61" spans="1:7" x14ac:dyDescent="0.25">
      <c r="A61" s="9"/>
      <c r="B61" s="9"/>
      <c r="C61" s="9"/>
      <c r="D61" s="9"/>
      <c r="E61" s="9"/>
      <c r="F61" s="9"/>
      <c r="G61" s="9"/>
    </row>
    <row r="62" spans="1:7" x14ac:dyDescent="0.25">
      <c r="A62" s="9"/>
      <c r="B62" s="9"/>
      <c r="C62" s="9"/>
      <c r="D62" s="9"/>
      <c r="E62" s="9"/>
      <c r="F62" s="9"/>
      <c r="G62" s="9"/>
    </row>
    <row r="63" spans="1:7" x14ac:dyDescent="0.25">
      <c r="A63" s="9"/>
      <c r="B63" s="9"/>
      <c r="C63" s="9"/>
      <c r="D63" s="9"/>
      <c r="E63" s="9"/>
      <c r="F63" s="9"/>
      <c r="G63" s="9"/>
    </row>
    <row r="64" spans="1:7" x14ac:dyDescent="0.25">
      <c r="A64" s="9"/>
      <c r="B64" s="9"/>
      <c r="C64" s="9"/>
      <c r="D64" s="9"/>
      <c r="E64" s="9"/>
      <c r="F64" s="9"/>
      <c r="G64" s="9"/>
    </row>
    <row r="65" spans="1:7" x14ac:dyDescent="0.25">
      <c r="A65" s="9"/>
      <c r="B65" s="9"/>
      <c r="C65" s="9"/>
      <c r="D65" s="9"/>
      <c r="E65" s="9"/>
      <c r="F65" s="9"/>
      <c r="G65" s="9"/>
    </row>
    <row r="66" spans="1:7" x14ac:dyDescent="0.25">
      <c r="A66" s="9"/>
      <c r="B66" s="9"/>
      <c r="C66" s="9"/>
      <c r="D66" s="9"/>
      <c r="E66" s="9"/>
      <c r="F66" s="9"/>
      <c r="G66" s="9"/>
    </row>
    <row r="67" spans="1:7" x14ac:dyDescent="0.25">
      <c r="A67" s="9"/>
      <c r="B67" s="9"/>
      <c r="C67" s="9"/>
      <c r="D67" s="9"/>
      <c r="E67" s="9"/>
      <c r="F67" s="9"/>
      <c r="G67" s="9"/>
    </row>
    <row r="68" spans="1:7" x14ac:dyDescent="0.25">
      <c r="A68" s="9"/>
      <c r="B68" s="9"/>
      <c r="C68" s="9"/>
      <c r="D68" s="9"/>
      <c r="E68" s="9"/>
      <c r="F68" s="9"/>
      <c r="G68" s="9"/>
    </row>
    <row r="69" spans="1:7" x14ac:dyDescent="0.25">
      <c r="A69" s="9"/>
      <c r="B69" s="9"/>
      <c r="C69" s="9"/>
      <c r="D69" s="9"/>
      <c r="E69" s="9"/>
      <c r="F69" s="9"/>
      <c r="G69" s="9"/>
    </row>
    <row r="70" spans="1:7" x14ac:dyDescent="0.25">
      <c r="A70" s="9"/>
      <c r="B70" s="9"/>
      <c r="C70" s="9"/>
      <c r="D70" s="9"/>
      <c r="E70" s="9"/>
      <c r="F70" s="9"/>
      <c r="G70" s="9"/>
    </row>
    <row r="71" spans="1:7" x14ac:dyDescent="0.25">
      <c r="A71" s="9"/>
      <c r="B71" s="9"/>
      <c r="C71" s="9"/>
      <c r="D71" s="9"/>
      <c r="E71" s="9"/>
      <c r="F71" s="9"/>
      <c r="G71" s="9"/>
    </row>
    <row r="72" spans="1:7" x14ac:dyDescent="0.25">
      <c r="A72" s="9"/>
      <c r="B72" s="9"/>
      <c r="C72" s="9"/>
      <c r="D72" s="9"/>
      <c r="E72" s="9"/>
      <c r="F72" s="9"/>
      <c r="G72" s="9"/>
    </row>
    <row r="73" spans="1:7" x14ac:dyDescent="0.25">
      <c r="A73" s="9"/>
      <c r="B73" s="9"/>
      <c r="C73" s="9"/>
      <c r="D73" s="9"/>
      <c r="E73" s="9"/>
      <c r="F73" s="9"/>
      <c r="G73" s="9"/>
    </row>
    <row r="74" spans="1:7" x14ac:dyDescent="0.25">
      <c r="A74" s="9"/>
      <c r="B74" s="9"/>
      <c r="C74" s="9"/>
      <c r="D74" s="9"/>
      <c r="E74" s="9"/>
      <c r="F74" s="9"/>
      <c r="G74" s="9"/>
    </row>
    <row r="75" spans="1:7" x14ac:dyDescent="0.25">
      <c r="A75" s="9"/>
      <c r="B75" s="9"/>
      <c r="C75" s="9"/>
      <c r="D75" s="9"/>
      <c r="E75" s="9"/>
      <c r="F75" s="9"/>
      <c r="G75" s="9"/>
    </row>
    <row r="76" spans="1:7" x14ac:dyDescent="0.25">
      <c r="A76" s="9"/>
      <c r="B76" s="9"/>
      <c r="C76" s="9"/>
      <c r="D76" s="9"/>
      <c r="E76" s="9"/>
      <c r="F76" s="9"/>
      <c r="G76" s="9"/>
    </row>
    <row r="77" spans="1:7" x14ac:dyDescent="0.25">
      <c r="A77" s="9"/>
      <c r="B77" s="9"/>
      <c r="C77" s="9"/>
      <c r="D77" s="9"/>
      <c r="E77" s="9"/>
      <c r="F77" s="9"/>
      <c r="G77" s="9"/>
    </row>
    <row r="78" spans="1:7" x14ac:dyDescent="0.25">
      <c r="A78" s="9"/>
      <c r="B78" s="9"/>
      <c r="C78" s="9"/>
      <c r="D78" s="9"/>
      <c r="E78" s="9"/>
      <c r="F78" s="9"/>
      <c r="G78" s="9"/>
    </row>
    <row r="79" spans="1:7" x14ac:dyDescent="0.25">
      <c r="A79" s="9"/>
      <c r="B79" s="9"/>
      <c r="C79" s="9"/>
      <c r="D79" s="9"/>
      <c r="E79" s="9"/>
      <c r="F79" s="9"/>
      <c r="G79" s="9"/>
    </row>
    <row r="80" spans="1:7" x14ac:dyDescent="0.25">
      <c r="A80" s="9"/>
      <c r="B80" s="9"/>
      <c r="C80" s="9"/>
      <c r="D80" s="9"/>
      <c r="E80" s="9"/>
      <c r="F80" s="9"/>
      <c r="G80" s="9"/>
    </row>
    <row r="81" spans="1:7" x14ac:dyDescent="0.25">
      <c r="A81" s="9"/>
      <c r="B81" s="9"/>
      <c r="C81" s="9"/>
      <c r="D81" s="9"/>
      <c r="E81" s="9"/>
      <c r="F81" s="9"/>
      <c r="G81" s="9"/>
    </row>
    <row r="82" spans="1:7" x14ac:dyDescent="0.25">
      <c r="A82" s="9"/>
      <c r="B82" s="9"/>
      <c r="C82" s="9"/>
      <c r="D82" s="9"/>
      <c r="E82" s="9"/>
      <c r="F82" s="9"/>
      <c r="G82" s="9"/>
    </row>
    <row r="83" spans="1:7" x14ac:dyDescent="0.25">
      <c r="A83" s="9"/>
      <c r="B83" s="9"/>
      <c r="C83" s="9"/>
      <c r="D83" s="9"/>
      <c r="E83" s="9"/>
      <c r="F83" s="9"/>
      <c r="G83" s="9"/>
    </row>
    <row r="84" spans="1:7" x14ac:dyDescent="0.25">
      <c r="A84" s="9"/>
      <c r="B84" s="9"/>
      <c r="C84" s="9"/>
      <c r="D84" s="9"/>
      <c r="E84" s="9"/>
      <c r="F84" s="9"/>
      <c r="G84" s="9"/>
    </row>
    <row r="85" spans="1:7" x14ac:dyDescent="0.25">
      <c r="A85" s="9"/>
      <c r="B85" s="9"/>
      <c r="C85" s="9"/>
      <c r="D85" s="9"/>
      <c r="E85" s="9"/>
      <c r="F85" s="9"/>
      <c r="G85" s="9"/>
    </row>
    <row r="86" spans="1:7" x14ac:dyDescent="0.25">
      <c r="A86" s="9"/>
      <c r="B86" s="9"/>
      <c r="C86" s="9"/>
      <c r="D86" s="9"/>
      <c r="E86" s="9"/>
      <c r="F86" s="9"/>
      <c r="G86" s="9"/>
    </row>
    <row r="87" spans="1:7" x14ac:dyDescent="0.25">
      <c r="A87" s="9"/>
      <c r="B87" s="9"/>
      <c r="C87" s="9"/>
      <c r="D87" s="9"/>
      <c r="E87" s="9"/>
      <c r="F87" s="9"/>
      <c r="G87" s="9"/>
    </row>
    <row r="88" spans="1:7" x14ac:dyDescent="0.25">
      <c r="A88" s="9"/>
      <c r="B88" s="9"/>
      <c r="C88" s="9"/>
      <c r="D88" s="9"/>
      <c r="E88" s="9"/>
      <c r="F88" s="9"/>
      <c r="G88" s="9"/>
    </row>
    <row r="89" spans="1:7" x14ac:dyDescent="0.25">
      <c r="A89" s="9"/>
      <c r="B89" s="9"/>
      <c r="C89" s="9"/>
      <c r="D89" s="9"/>
      <c r="E89" s="9"/>
      <c r="F89" s="9"/>
      <c r="G89" s="9"/>
    </row>
    <row r="90" spans="1:7" x14ac:dyDescent="0.25">
      <c r="A90" s="9"/>
      <c r="B90" s="9"/>
      <c r="C90" s="9"/>
      <c r="D90" s="9"/>
      <c r="E90" s="9"/>
      <c r="F90" s="9"/>
      <c r="G90" s="9"/>
    </row>
    <row r="91" spans="1:7" x14ac:dyDescent="0.25">
      <c r="A91" s="9"/>
      <c r="B91" s="9"/>
      <c r="C91" s="9"/>
      <c r="D91" s="9"/>
      <c r="E91" s="9"/>
      <c r="F91" s="9"/>
      <c r="G91" s="9"/>
    </row>
    <row r="92" spans="1:7" x14ac:dyDescent="0.25">
      <c r="A92" s="9"/>
      <c r="B92" s="9"/>
      <c r="C92" s="9"/>
      <c r="D92" s="9"/>
      <c r="E92" s="9"/>
      <c r="F92" s="9"/>
      <c r="G92" s="9"/>
    </row>
    <row r="93" spans="1:7" x14ac:dyDescent="0.25">
      <c r="A93" s="9"/>
      <c r="B93" s="9"/>
      <c r="C93" s="9"/>
      <c r="D93" s="9"/>
      <c r="E93" s="9"/>
      <c r="F93" s="9"/>
      <c r="G93" s="9"/>
    </row>
    <row r="94" spans="1:7" x14ac:dyDescent="0.25">
      <c r="A94" s="9"/>
      <c r="B94" s="9"/>
      <c r="C94" s="9"/>
      <c r="D94" s="9"/>
      <c r="E94" s="9"/>
      <c r="F94" s="9"/>
      <c r="G94" s="9"/>
    </row>
    <row r="95" spans="1:7" x14ac:dyDescent="0.25">
      <c r="A95" s="9"/>
      <c r="B95" s="9"/>
      <c r="C95" s="9"/>
      <c r="D95" s="9"/>
      <c r="E95" s="9"/>
      <c r="F95" s="9"/>
      <c r="G95" s="9"/>
    </row>
    <row r="96" spans="1:7" x14ac:dyDescent="0.25">
      <c r="A96" s="9"/>
      <c r="B96" s="9"/>
      <c r="C96" s="9"/>
      <c r="D96" s="9"/>
      <c r="E96" s="9"/>
      <c r="F96" s="9"/>
      <c r="G96" s="9"/>
    </row>
    <row r="97" spans="1:7" x14ac:dyDescent="0.25">
      <c r="A97" s="9"/>
      <c r="B97" s="9"/>
      <c r="C97" s="9"/>
      <c r="D97" s="9"/>
      <c r="E97" s="9"/>
      <c r="F97" s="9"/>
      <c r="G97" s="9"/>
    </row>
    <row r="98" spans="1:7" x14ac:dyDescent="0.25">
      <c r="A98" s="9"/>
      <c r="B98" s="9"/>
      <c r="C98" s="9"/>
      <c r="D98" s="9"/>
      <c r="E98" s="9"/>
      <c r="F98" s="9"/>
      <c r="G98" s="9"/>
    </row>
    <row r="99" spans="1:7" x14ac:dyDescent="0.25">
      <c r="A99" s="9"/>
      <c r="B99" s="9"/>
      <c r="C99" s="9"/>
      <c r="D99" s="9"/>
      <c r="E99" s="9"/>
      <c r="F99" s="9"/>
      <c r="G99" s="9"/>
    </row>
    <row r="100" spans="1:7" x14ac:dyDescent="0.25">
      <c r="A100" s="9"/>
      <c r="B100" s="9"/>
      <c r="C100" s="9"/>
      <c r="D100" s="9"/>
      <c r="E100" s="9"/>
      <c r="F100" s="9"/>
      <c r="G100" s="9"/>
    </row>
    <row r="101" spans="1:7" x14ac:dyDescent="0.25">
      <c r="A101" s="9"/>
      <c r="B101" s="9"/>
      <c r="C101" s="9"/>
      <c r="D101" s="9"/>
      <c r="E101" s="9"/>
      <c r="F101" s="9"/>
      <c r="G101" s="9"/>
    </row>
    <row r="102" spans="1:7" x14ac:dyDescent="0.25">
      <c r="A102" s="9"/>
      <c r="B102" s="9"/>
      <c r="C102" s="9"/>
      <c r="D102" s="9"/>
      <c r="E102" s="9"/>
      <c r="F102" s="9"/>
      <c r="G102" s="9"/>
    </row>
    <row r="103" spans="1:7" x14ac:dyDescent="0.25">
      <c r="A103" s="9"/>
      <c r="B103" s="9"/>
      <c r="C103" s="9"/>
      <c r="D103" s="9"/>
      <c r="E103" s="9"/>
      <c r="F103" s="9"/>
      <c r="G103" s="9"/>
    </row>
    <row r="104" spans="1:7" x14ac:dyDescent="0.25">
      <c r="A104" s="9"/>
      <c r="B104" s="9"/>
      <c r="C104" s="9"/>
      <c r="D104" s="9"/>
      <c r="E104" s="9"/>
      <c r="F104" s="9"/>
      <c r="G104" s="9"/>
    </row>
    <row r="105" spans="1:7" x14ac:dyDescent="0.25">
      <c r="A105" s="9"/>
      <c r="B105" s="9"/>
      <c r="C105" s="9"/>
      <c r="D105" s="9"/>
      <c r="E105" s="9"/>
      <c r="F105" s="9"/>
      <c r="G105" s="9"/>
    </row>
    <row r="106" spans="1:7" x14ac:dyDescent="0.25">
      <c r="A106" s="9"/>
      <c r="B106" s="9"/>
      <c r="C106" s="9"/>
      <c r="D106" s="9"/>
      <c r="E106" s="9"/>
      <c r="F106" s="9"/>
      <c r="G106" s="9"/>
    </row>
    <row r="107" spans="1:7" x14ac:dyDescent="0.25">
      <c r="A107" s="9"/>
      <c r="B107" s="9"/>
      <c r="C107" s="9"/>
      <c r="D107" s="9"/>
      <c r="E107" s="9"/>
      <c r="F107" s="9"/>
      <c r="G107" s="9"/>
    </row>
    <row r="108" spans="1:7" x14ac:dyDescent="0.25">
      <c r="A108" s="9"/>
      <c r="B108" s="9"/>
      <c r="C108" s="9"/>
      <c r="D108" s="9"/>
      <c r="E108" s="9"/>
      <c r="F108" s="9"/>
      <c r="G108" s="9"/>
    </row>
    <row r="109" spans="1:7" x14ac:dyDescent="0.25">
      <c r="A109" s="9"/>
      <c r="B109" s="9"/>
      <c r="C109" s="9"/>
      <c r="D109" s="9"/>
      <c r="E109" s="9"/>
      <c r="F109" s="9"/>
      <c r="G109" s="9"/>
    </row>
    <row r="110" spans="1:7" x14ac:dyDescent="0.25">
      <c r="A110" s="9"/>
      <c r="B110" s="9"/>
      <c r="C110" s="9"/>
      <c r="D110" s="9"/>
      <c r="E110" s="9"/>
      <c r="F110" s="9"/>
      <c r="G110" s="9"/>
    </row>
    <row r="111" spans="1:7" x14ac:dyDescent="0.25">
      <c r="A111" s="9"/>
      <c r="B111" s="9"/>
      <c r="C111" s="9"/>
      <c r="D111" s="9"/>
      <c r="E111" s="9"/>
      <c r="F111" s="9"/>
      <c r="G111" s="9"/>
    </row>
    <row r="112" spans="1:7" x14ac:dyDescent="0.25">
      <c r="A112" s="9"/>
      <c r="B112" s="9"/>
      <c r="C112" s="9"/>
      <c r="D112" s="9"/>
      <c r="E112" s="9"/>
      <c r="F112" s="9"/>
      <c r="G112" s="9"/>
    </row>
    <row r="113" spans="1:7" x14ac:dyDescent="0.25">
      <c r="A113" s="9"/>
      <c r="B113" s="9"/>
      <c r="C113" s="9"/>
      <c r="D113" s="9"/>
      <c r="E113" s="9"/>
      <c r="F113" s="9"/>
      <c r="G113" s="9"/>
    </row>
    <row r="114" spans="1:7" x14ac:dyDescent="0.25">
      <c r="A114" s="9"/>
      <c r="B114" s="9"/>
      <c r="C114" s="9"/>
      <c r="D114" s="9"/>
      <c r="E114" s="9"/>
      <c r="F114" s="9"/>
      <c r="G114" s="9"/>
    </row>
    <row r="115" spans="1:7" x14ac:dyDescent="0.25">
      <c r="A115" s="9"/>
      <c r="B115" s="9"/>
      <c r="C115" s="9"/>
      <c r="D115" s="9"/>
      <c r="E115" s="9"/>
      <c r="F115" s="9"/>
      <c r="G115" s="9"/>
    </row>
    <row r="116" spans="1:7" x14ac:dyDescent="0.25">
      <c r="A116" s="9"/>
      <c r="B116" s="9"/>
      <c r="C116" s="9"/>
      <c r="D116" s="9"/>
      <c r="E116" s="9"/>
      <c r="F116" s="9"/>
      <c r="G116" s="9"/>
    </row>
    <row r="117" spans="1:7" x14ac:dyDescent="0.25">
      <c r="A117" s="9"/>
      <c r="B117" s="9"/>
      <c r="C117" s="9"/>
      <c r="D117" s="9"/>
      <c r="E117" s="9"/>
      <c r="F117" s="9"/>
      <c r="G117" s="9"/>
    </row>
    <row r="118" spans="1:7" x14ac:dyDescent="0.25">
      <c r="A118" s="9"/>
      <c r="B118" s="9"/>
      <c r="C118" s="9"/>
      <c r="D118" s="9"/>
      <c r="E118" s="9"/>
      <c r="F118" s="9"/>
      <c r="G118" s="9"/>
    </row>
    <row r="119" spans="1:7" x14ac:dyDescent="0.25">
      <c r="A119" s="9"/>
      <c r="B119" s="9"/>
      <c r="C119" s="9"/>
      <c r="D119" s="9"/>
      <c r="E119" s="9"/>
      <c r="F119" s="9"/>
      <c r="G119" s="9"/>
    </row>
    <row r="120" spans="1:7" x14ac:dyDescent="0.25">
      <c r="A120" s="9"/>
      <c r="B120" s="9"/>
      <c r="C120" s="9"/>
      <c r="D120" s="9"/>
      <c r="E120" s="9"/>
      <c r="F120" s="9"/>
      <c r="G120" s="9"/>
    </row>
    <row r="121" spans="1:7" x14ac:dyDescent="0.25">
      <c r="A121" s="9"/>
      <c r="B121" s="9"/>
      <c r="C121" s="9"/>
      <c r="D121" s="9"/>
      <c r="E121" s="9"/>
      <c r="F121" s="9"/>
      <c r="G121" s="9"/>
    </row>
    <row r="122" spans="1:7" x14ac:dyDescent="0.25">
      <c r="A122" s="9"/>
      <c r="B122" s="9"/>
      <c r="C122" s="9"/>
      <c r="D122" s="9"/>
      <c r="E122" s="9"/>
      <c r="F122" s="9"/>
      <c r="G122" s="9"/>
    </row>
    <row r="123" spans="1:7" x14ac:dyDescent="0.25">
      <c r="A123" s="9"/>
      <c r="B123" s="9"/>
      <c r="C123" s="9"/>
      <c r="D123" s="9"/>
      <c r="E123" s="9"/>
      <c r="F123" s="9"/>
      <c r="G123" s="9"/>
    </row>
    <row r="124" spans="1:7" x14ac:dyDescent="0.25">
      <c r="A124" s="9"/>
      <c r="B124" s="9"/>
      <c r="C124" s="9"/>
      <c r="D124" s="9"/>
      <c r="E124" s="9"/>
      <c r="F124" s="9"/>
      <c r="G124" s="9"/>
    </row>
    <row r="125" spans="1:7" x14ac:dyDescent="0.25">
      <c r="A125" s="9"/>
      <c r="B125" s="9"/>
      <c r="C125" s="9"/>
      <c r="D125" s="9"/>
      <c r="E125" s="9"/>
      <c r="F125" s="9"/>
      <c r="G125" s="9"/>
    </row>
    <row r="126" spans="1:7" x14ac:dyDescent="0.25">
      <c r="A126" s="9"/>
      <c r="B126" s="9"/>
      <c r="C126" s="9"/>
      <c r="D126" s="9"/>
      <c r="E126" s="9"/>
      <c r="F126" s="9"/>
      <c r="G126" s="9"/>
    </row>
    <row r="127" spans="1:7" x14ac:dyDescent="0.25">
      <c r="A127" s="9"/>
      <c r="B127" s="9"/>
      <c r="C127" s="9"/>
      <c r="D127" s="9"/>
      <c r="E127" s="9"/>
      <c r="F127" s="9"/>
      <c r="G127" s="9"/>
    </row>
    <row r="128" spans="1:7" x14ac:dyDescent="0.25">
      <c r="A128" s="9"/>
      <c r="B128" s="9"/>
      <c r="C128" s="9"/>
      <c r="D128" s="9"/>
      <c r="E128" s="9"/>
      <c r="F128" s="9"/>
      <c r="G128" s="9"/>
    </row>
    <row r="129" spans="1:7" x14ac:dyDescent="0.25">
      <c r="A129" s="9"/>
      <c r="B129" s="9"/>
      <c r="C129" s="9"/>
      <c r="D129" s="9"/>
      <c r="E129" s="9"/>
      <c r="F129" s="9"/>
      <c r="G129" s="9"/>
    </row>
    <row r="130" spans="1:7" x14ac:dyDescent="0.25">
      <c r="A130" s="9"/>
      <c r="B130" s="9"/>
      <c r="C130" s="9"/>
      <c r="D130" s="9"/>
      <c r="E130" s="9"/>
      <c r="F130" s="9"/>
      <c r="G130" s="9"/>
    </row>
    <row r="131" spans="1:7" x14ac:dyDescent="0.25">
      <c r="A131" s="9"/>
      <c r="B131" s="9"/>
      <c r="C131" s="9"/>
      <c r="D131" s="9"/>
      <c r="E131" s="9"/>
      <c r="F131" s="9"/>
      <c r="G131" s="9"/>
    </row>
    <row r="132" spans="1:7" x14ac:dyDescent="0.25">
      <c r="A132" s="9"/>
      <c r="B132" s="9"/>
      <c r="C132" s="9"/>
      <c r="D132" s="9"/>
      <c r="E132" s="9"/>
      <c r="F132" s="9"/>
      <c r="G132" s="9"/>
    </row>
    <row r="133" spans="1:7" x14ac:dyDescent="0.25">
      <c r="A133" s="9"/>
      <c r="B133" s="9"/>
      <c r="C133" s="9"/>
      <c r="D133" s="9"/>
      <c r="E133" s="9"/>
      <c r="F133" s="9"/>
      <c r="G133" s="9"/>
    </row>
    <row r="134" spans="1:7" x14ac:dyDescent="0.25">
      <c r="A134" s="9"/>
      <c r="B134" s="9"/>
      <c r="C134" s="9"/>
      <c r="D134" s="9"/>
      <c r="E134" s="9"/>
      <c r="F134" s="9"/>
      <c r="G134" s="9"/>
    </row>
    <row r="135" spans="1:7" x14ac:dyDescent="0.25">
      <c r="A135" s="9"/>
      <c r="B135" s="9"/>
      <c r="C135" s="9"/>
      <c r="D135" s="9"/>
      <c r="E135" s="9"/>
      <c r="F135" s="9"/>
      <c r="G135" s="9"/>
    </row>
    <row r="136" spans="1:7" x14ac:dyDescent="0.25">
      <c r="A136" s="9"/>
      <c r="B136" s="9"/>
      <c r="C136" s="9"/>
      <c r="D136" s="9"/>
      <c r="E136" s="9"/>
      <c r="F136" s="9"/>
      <c r="G136" s="9"/>
    </row>
    <row r="137" spans="1:7" x14ac:dyDescent="0.25">
      <c r="A137" s="9"/>
      <c r="B137" s="9"/>
      <c r="C137" s="9"/>
      <c r="D137" s="9"/>
      <c r="E137" s="9"/>
      <c r="F137" s="9"/>
      <c r="G137" s="9"/>
    </row>
    <row r="138" spans="1:7" x14ac:dyDescent="0.25">
      <c r="A138" s="9"/>
      <c r="B138" s="9"/>
      <c r="C138" s="9"/>
      <c r="D138" s="9"/>
      <c r="E138" s="9"/>
      <c r="F138" s="9"/>
      <c r="G138" s="9"/>
    </row>
    <row r="139" spans="1:7" x14ac:dyDescent="0.25">
      <c r="A139" s="9"/>
      <c r="B139" s="9"/>
      <c r="C139" s="9"/>
      <c r="D139" s="9"/>
      <c r="E139" s="9"/>
      <c r="F139" s="9"/>
      <c r="G139" s="9"/>
    </row>
    <row r="140" spans="1:7" x14ac:dyDescent="0.25">
      <c r="A140" s="9"/>
      <c r="B140" s="9"/>
      <c r="C140" s="9"/>
      <c r="D140" s="9"/>
      <c r="E140" s="9"/>
      <c r="F140" s="9"/>
      <c r="G140" s="9"/>
    </row>
    <row r="141" spans="1:7" x14ac:dyDescent="0.25">
      <c r="A141" s="9"/>
      <c r="B141" s="9"/>
      <c r="C141" s="9"/>
      <c r="D141" s="9"/>
      <c r="E141" s="9"/>
      <c r="F141" s="9"/>
      <c r="G141" s="9"/>
    </row>
    <row r="142" spans="1:7" x14ac:dyDescent="0.25">
      <c r="A142" s="9"/>
      <c r="B142" s="9"/>
      <c r="C142" s="9"/>
      <c r="D142" s="9"/>
      <c r="E142" s="9"/>
      <c r="F142" s="9"/>
      <c r="G142" s="9"/>
    </row>
    <row r="143" spans="1:7" x14ac:dyDescent="0.25">
      <c r="A143" s="9"/>
      <c r="B143" s="9"/>
      <c r="C143" s="9"/>
      <c r="D143" s="9"/>
      <c r="E143" s="9"/>
      <c r="F143" s="9"/>
      <c r="G143" s="9"/>
    </row>
    <row r="144" spans="1:7" x14ac:dyDescent="0.25">
      <c r="A144" s="9"/>
      <c r="B144" s="9"/>
      <c r="C144" s="9"/>
      <c r="D144" s="9"/>
      <c r="E144" s="9"/>
      <c r="F144" s="9"/>
      <c r="G144" s="9"/>
    </row>
    <row r="145" spans="1:7" x14ac:dyDescent="0.25">
      <c r="A145" s="9"/>
      <c r="B145" s="9"/>
      <c r="C145" s="9"/>
      <c r="D145" s="9"/>
      <c r="E145" s="9"/>
      <c r="F145" s="9"/>
      <c r="G145" s="9"/>
    </row>
    <row r="146" spans="1:7" x14ac:dyDescent="0.25">
      <c r="A146" s="9"/>
      <c r="B146" s="9"/>
      <c r="C146" s="9"/>
      <c r="D146" s="9"/>
      <c r="E146" s="9"/>
      <c r="F146" s="9"/>
      <c r="G146" s="9"/>
    </row>
    <row r="147" spans="1:7" x14ac:dyDescent="0.25">
      <c r="A147" s="9"/>
      <c r="B147" s="9"/>
      <c r="C147" s="9"/>
      <c r="D147" s="9"/>
      <c r="E147" s="9"/>
      <c r="F147" s="9"/>
      <c r="G147" s="9"/>
    </row>
    <row r="148" spans="1:7" x14ac:dyDescent="0.25">
      <c r="A148" s="9"/>
      <c r="B148" s="9"/>
      <c r="C148" s="9"/>
      <c r="D148" s="9"/>
      <c r="E148" s="9"/>
      <c r="F148" s="9"/>
      <c r="G148" s="9"/>
    </row>
    <row r="149" spans="1:7" x14ac:dyDescent="0.25">
      <c r="A149" s="9"/>
      <c r="B149" s="9"/>
      <c r="C149" s="9"/>
      <c r="D149" s="9"/>
      <c r="E149" s="9"/>
      <c r="F149" s="9"/>
      <c r="G149" s="9"/>
    </row>
    <row r="150" spans="1:7" x14ac:dyDescent="0.25">
      <c r="A150" s="9"/>
      <c r="B150" s="9"/>
      <c r="C150" s="9"/>
      <c r="D150" s="9"/>
      <c r="E150" s="9"/>
      <c r="F150" s="9"/>
      <c r="G150" s="9"/>
    </row>
    <row r="151" spans="1:7" x14ac:dyDescent="0.25">
      <c r="A151" s="9"/>
      <c r="B151" s="9"/>
      <c r="C151" s="9"/>
      <c r="D151" s="9"/>
      <c r="E151" s="9"/>
      <c r="F151" s="9"/>
      <c r="G151" s="9"/>
    </row>
    <row r="152" spans="1:7" x14ac:dyDescent="0.25">
      <c r="A152" s="9"/>
      <c r="B152" s="9"/>
      <c r="C152" s="9"/>
      <c r="D152" s="9"/>
      <c r="E152" s="9"/>
      <c r="F152" s="9"/>
      <c r="G152" s="9"/>
    </row>
    <row r="153" spans="1:7" x14ac:dyDescent="0.25">
      <c r="A153" s="9"/>
      <c r="B153" s="9"/>
      <c r="C153" s="9"/>
      <c r="D153" s="9"/>
      <c r="E153" s="9"/>
      <c r="F153" s="9"/>
      <c r="G153" s="9"/>
    </row>
    <row r="154" spans="1:7" x14ac:dyDescent="0.25">
      <c r="A154" s="9"/>
      <c r="B154" s="9"/>
      <c r="C154" s="9"/>
      <c r="D154" s="9"/>
      <c r="E154" s="9"/>
      <c r="F154" s="9"/>
      <c r="G154" s="9"/>
    </row>
    <row r="155" spans="1:7" x14ac:dyDescent="0.25">
      <c r="A155" s="9"/>
      <c r="B155" s="9"/>
      <c r="C155" s="9"/>
      <c r="D155" s="9"/>
      <c r="E155" s="9"/>
      <c r="F155" s="9"/>
      <c r="G155" s="9"/>
    </row>
    <row r="156" spans="1:7" x14ac:dyDescent="0.25">
      <c r="A156" s="9"/>
      <c r="B156" s="9"/>
      <c r="C156" s="9"/>
      <c r="D156" s="9"/>
      <c r="E156" s="9"/>
      <c r="F156" s="9"/>
      <c r="G156" s="9"/>
    </row>
    <row r="157" spans="1:7" x14ac:dyDescent="0.25">
      <c r="A157" s="9"/>
      <c r="B157" s="9"/>
      <c r="C157" s="9"/>
      <c r="D157" s="9"/>
      <c r="E157" s="9"/>
      <c r="F157" s="9"/>
      <c r="G157" s="9"/>
    </row>
    <row r="158" spans="1:7" x14ac:dyDescent="0.25">
      <c r="A158" s="9"/>
      <c r="B158" s="9"/>
      <c r="C158" s="9"/>
      <c r="D158" s="9"/>
      <c r="E158" s="9"/>
      <c r="F158" s="9"/>
      <c r="G158" s="9"/>
    </row>
    <row r="159" spans="1:7" x14ac:dyDescent="0.25">
      <c r="A159" s="9"/>
      <c r="B159" s="9"/>
      <c r="C159" s="9"/>
      <c r="D159" s="9"/>
      <c r="E159" s="9"/>
      <c r="F159" s="9"/>
      <c r="G159" s="9"/>
    </row>
    <row r="160" spans="1:7" x14ac:dyDescent="0.25">
      <c r="A160" s="9"/>
      <c r="B160" s="9"/>
      <c r="C160" s="9"/>
      <c r="D160" s="9"/>
      <c r="E160" s="9"/>
      <c r="F160" s="9"/>
      <c r="G160" s="9"/>
    </row>
    <row r="161" spans="1:7" x14ac:dyDescent="0.25">
      <c r="A161" s="9"/>
      <c r="B161" s="9"/>
      <c r="C161" s="9"/>
      <c r="D161" s="9"/>
      <c r="E161" s="9"/>
      <c r="F161" s="9"/>
      <c r="G161" s="9"/>
    </row>
    <row r="162" spans="1:7" x14ac:dyDescent="0.25">
      <c r="A162" s="9"/>
      <c r="B162" s="9"/>
      <c r="C162" s="9"/>
      <c r="D162" s="9"/>
      <c r="E162" s="9"/>
      <c r="F162" s="9"/>
      <c r="G162" s="9"/>
    </row>
    <row r="163" spans="1:7" x14ac:dyDescent="0.25">
      <c r="A163" s="9"/>
      <c r="B163" s="9"/>
      <c r="C163" s="9"/>
      <c r="D163" s="9"/>
      <c r="E163" s="9"/>
      <c r="F163" s="9"/>
      <c r="G163" s="9"/>
    </row>
    <row r="164" spans="1:7" x14ac:dyDescent="0.25">
      <c r="A164" s="9"/>
      <c r="B164" s="9"/>
      <c r="C164" s="9"/>
      <c r="D164" s="9"/>
      <c r="E164" s="9"/>
      <c r="F164" s="9"/>
      <c r="G164" s="9"/>
    </row>
    <row r="165" spans="1:7" x14ac:dyDescent="0.25">
      <c r="A165" s="9"/>
      <c r="B165" s="9"/>
      <c r="C165" s="9"/>
      <c r="D165" s="9"/>
      <c r="E165" s="9"/>
      <c r="F165" s="9"/>
      <c r="G165" s="9"/>
    </row>
    <row r="166" spans="1:7" x14ac:dyDescent="0.25">
      <c r="A166" s="9"/>
      <c r="B166" s="9"/>
      <c r="C166" s="9"/>
      <c r="D166" s="9"/>
      <c r="E166" s="9"/>
      <c r="F166" s="9"/>
      <c r="G166" s="9"/>
    </row>
    <row r="167" spans="1:7" x14ac:dyDescent="0.25">
      <c r="A167" s="9"/>
      <c r="B167" s="9"/>
      <c r="C167" s="9"/>
      <c r="D167" s="9"/>
      <c r="E167" s="9"/>
      <c r="F167" s="9"/>
      <c r="G167" s="9"/>
    </row>
    <row r="168" spans="1:7" x14ac:dyDescent="0.25">
      <c r="A168" s="9"/>
      <c r="B168" s="9"/>
      <c r="C168" s="9"/>
      <c r="D168" s="9"/>
      <c r="E168" s="9"/>
      <c r="F168" s="9"/>
      <c r="G168" s="9"/>
    </row>
    <row r="169" spans="1:7" x14ac:dyDescent="0.25">
      <c r="A169" s="9"/>
      <c r="B169" s="9"/>
      <c r="C169" s="9"/>
      <c r="D169" s="9"/>
      <c r="E169" s="9"/>
      <c r="F169" s="9"/>
      <c r="G169" s="9"/>
    </row>
    <row r="170" spans="1:7" x14ac:dyDescent="0.25">
      <c r="A170" s="9"/>
      <c r="B170" s="9"/>
      <c r="C170" s="9"/>
      <c r="D170" s="9"/>
      <c r="E170" s="9"/>
      <c r="F170" s="9"/>
      <c r="G170" s="9"/>
    </row>
    <row r="171" spans="1:7" x14ac:dyDescent="0.25">
      <c r="A171" s="9"/>
      <c r="B171" s="9"/>
      <c r="C171" s="9"/>
      <c r="D171" s="9"/>
      <c r="E171" s="9"/>
      <c r="F171" s="9"/>
      <c r="G171" s="9"/>
    </row>
    <row r="172" spans="1:7" x14ac:dyDescent="0.25">
      <c r="A172" s="9"/>
      <c r="B172" s="9"/>
      <c r="C172" s="9"/>
      <c r="D172" s="9"/>
      <c r="E172" s="9"/>
      <c r="F172" s="9"/>
      <c r="G172" s="9"/>
    </row>
    <row r="173" spans="1:7" x14ac:dyDescent="0.25">
      <c r="A173" s="9"/>
      <c r="B173" s="9"/>
      <c r="C173" s="9"/>
      <c r="D173" s="9"/>
      <c r="E173" s="9"/>
      <c r="F173" s="9"/>
      <c r="G173" s="9"/>
    </row>
    <row r="174" spans="1:7" x14ac:dyDescent="0.25">
      <c r="A174" s="9"/>
      <c r="B174" s="9"/>
      <c r="C174" s="9"/>
      <c r="D174" s="9"/>
      <c r="E174" s="9"/>
      <c r="F174" s="9"/>
      <c r="G174" s="9"/>
    </row>
    <row r="175" spans="1:7" x14ac:dyDescent="0.25">
      <c r="A175" s="9"/>
      <c r="B175" s="9"/>
      <c r="C175" s="9"/>
      <c r="D175" s="9"/>
      <c r="E175" s="9"/>
      <c r="F175" s="9"/>
      <c r="G175" s="9"/>
    </row>
    <row r="176" spans="1:7" x14ac:dyDescent="0.25">
      <c r="A176" s="9"/>
      <c r="B176" s="9"/>
      <c r="C176" s="9"/>
      <c r="D176" s="9"/>
      <c r="E176" s="9"/>
      <c r="F176" s="9"/>
      <c r="G176" s="9"/>
    </row>
    <row r="177" spans="1:7" x14ac:dyDescent="0.25">
      <c r="A177" s="9"/>
      <c r="B177" s="9"/>
      <c r="C177" s="9"/>
      <c r="D177" s="9"/>
      <c r="E177" s="9"/>
      <c r="F177" s="9"/>
      <c r="G177" s="9"/>
    </row>
    <row r="178" spans="1:7" x14ac:dyDescent="0.25">
      <c r="A178" s="9"/>
      <c r="B178" s="9"/>
      <c r="C178" s="9"/>
      <c r="D178" s="9"/>
      <c r="E178" s="9"/>
      <c r="F178" s="9"/>
      <c r="G178" s="9"/>
    </row>
    <row r="179" spans="1:7" x14ac:dyDescent="0.25">
      <c r="A179" s="9"/>
      <c r="B179" s="9"/>
      <c r="C179" s="9"/>
      <c r="D179" s="9"/>
      <c r="E179" s="9"/>
      <c r="F179" s="9"/>
      <c r="G179" s="9"/>
    </row>
    <row r="180" spans="1:7" x14ac:dyDescent="0.25">
      <c r="A180" s="9"/>
      <c r="B180" s="9"/>
      <c r="C180" s="9"/>
      <c r="D180" s="9"/>
      <c r="E180" s="9"/>
      <c r="F180" s="9"/>
      <c r="G180" s="9"/>
    </row>
    <row r="181" spans="1:7" x14ac:dyDescent="0.25">
      <c r="A181" s="9"/>
      <c r="B181" s="9"/>
      <c r="C181" s="9"/>
      <c r="D181" s="9"/>
      <c r="E181" s="9"/>
      <c r="F181" s="9"/>
      <c r="G181" s="9"/>
    </row>
    <row r="182" spans="1:7" x14ac:dyDescent="0.25">
      <c r="A182" s="9"/>
      <c r="B182" s="9"/>
      <c r="C182" s="9"/>
      <c r="D182" s="9"/>
      <c r="E182" s="9"/>
      <c r="F182" s="9"/>
      <c r="G182" s="9"/>
    </row>
    <row r="183" spans="1:7" x14ac:dyDescent="0.25">
      <c r="A183" s="9"/>
      <c r="B183" s="9"/>
      <c r="C183" s="9"/>
      <c r="D183" s="9"/>
      <c r="E183" s="9"/>
      <c r="F183" s="9"/>
      <c r="G183" s="9"/>
    </row>
    <row r="184" spans="1:7" x14ac:dyDescent="0.25">
      <c r="A184" s="9"/>
      <c r="B184" s="9"/>
      <c r="C184" s="9"/>
      <c r="D184" s="9"/>
      <c r="E184" s="9"/>
      <c r="F184" s="9"/>
      <c r="G184" s="9"/>
    </row>
    <row r="185" spans="1:7" x14ac:dyDescent="0.25">
      <c r="A185" s="9"/>
      <c r="B185" s="9"/>
      <c r="C185" s="9"/>
      <c r="D185" s="9"/>
      <c r="E185" s="9"/>
      <c r="F185" s="9"/>
      <c r="G185" s="9"/>
    </row>
    <row r="186" spans="1:7" x14ac:dyDescent="0.25">
      <c r="A186" s="9"/>
      <c r="B186" s="9"/>
      <c r="C186" s="9"/>
      <c r="D186" s="9"/>
      <c r="E186" s="9"/>
      <c r="F186" s="9"/>
      <c r="G186" s="9"/>
    </row>
    <row r="187" spans="1:7" x14ac:dyDescent="0.25">
      <c r="A187" s="9"/>
      <c r="B187" s="9"/>
      <c r="C187" s="9"/>
      <c r="D187" s="9"/>
      <c r="E187" s="9"/>
      <c r="F187" s="9"/>
      <c r="G187" s="9"/>
    </row>
    <row r="188" spans="1:7" x14ac:dyDescent="0.25">
      <c r="A188" s="9"/>
      <c r="B188" s="9"/>
      <c r="C188" s="9"/>
      <c r="D188" s="9"/>
      <c r="E188" s="9"/>
      <c r="F188" s="9"/>
      <c r="G188" s="9"/>
    </row>
    <row r="189" spans="1:7" x14ac:dyDescent="0.25">
      <c r="A189" s="9"/>
      <c r="B189" s="9"/>
      <c r="C189" s="9"/>
      <c r="D189" s="9"/>
      <c r="E189" s="9"/>
      <c r="F189" s="9"/>
      <c r="G189" s="9"/>
    </row>
    <row r="190" spans="1:7" x14ac:dyDescent="0.25">
      <c r="A190" s="9"/>
      <c r="B190" s="9"/>
      <c r="C190" s="9"/>
      <c r="D190" s="9"/>
      <c r="E190" s="9"/>
      <c r="F190" s="9"/>
      <c r="G190" s="9"/>
    </row>
    <row r="191" spans="1:7" x14ac:dyDescent="0.25">
      <c r="A191" s="9"/>
      <c r="B191" s="9"/>
      <c r="C191" s="9"/>
      <c r="D191" s="9"/>
      <c r="E191" s="9"/>
      <c r="F191" s="9"/>
      <c r="G191" s="9"/>
    </row>
    <row r="192" spans="1:7" x14ac:dyDescent="0.25">
      <c r="A192" s="9"/>
      <c r="B192" s="9"/>
      <c r="C192" s="9"/>
      <c r="D192" s="9"/>
      <c r="E192" s="9"/>
      <c r="F192" s="9"/>
      <c r="G192" s="9"/>
    </row>
    <row r="193" spans="1:7" x14ac:dyDescent="0.25">
      <c r="A193" s="9"/>
      <c r="B193" s="9"/>
      <c r="C193" s="9"/>
      <c r="D193" s="9"/>
      <c r="E193" s="9"/>
      <c r="F193" s="9"/>
      <c r="G193" s="9"/>
    </row>
    <row r="194" spans="1:7" x14ac:dyDescent="0.25">
      <c r="A194" s="9"/>
      <c r="B194" s="9"/>
      <c r="C194" s="9"/>
      <c r="D194" s="9"/>
      <c r="E194" s="9"/>
      <c r="F194" s="9"/>
      <c r="G194" s="9"/>
    </row>
    <row r="195" spans="1:7" x14ac:dyDescent="0.25">
      <c r="A195" s="9"/>
      <c r="B195" s="9"/>
      <c r="C195" s="9"/>
      <c r="D195" s="9"/>
      <c r="E195" s="9"/>
      <c r="F195" s="9"/>
      <c r="G195" s="9"/>
    </row>
    <row r="196" spans="1:7" x14ac:dyDescent="0.25">
      <c r="A196" s="9"/>
      <c r="B196" s="9"/>
      <c r="C196" s="9"/>
      <c r="D196" s="9"/>
      <c r="E196" s="9"/>
      <c r="F196" s="9"/>
      <c r="G196" s="9"/>
    </row>
    <row r="197" spans="1:7" x14ac:dyDescent="0.25">
      <c r="A197" s="9"/>
      <c r="B197" s="9"/>
      <c r="C197" s="9"/>
      <c r="D197" s="9"/>
      <c r="E197" s="9"/>
      <c r="F197" s="9"/>
      <c r="G197" s="9"/>
    </row>
    <row r="198" spans="1:7" x14ac:dyDescent="0.25">
      <c r="A198" s="9"/>
      <c r="B198" s="9"/>
      <c r="C198" s="9"/>
      <c r="D198" s="9"/>
      <c r="E198" s="9"/>
      <c r="F198" s="9"/>
      <c r="G198" s="9"/>
    </row>
    <row r="199" spans="1:7" x14ac:dyDescent="0.25">
      <c r="A199" s="9"/>
      <c r="B199" s="9"/>
      <c r="C199" s="9"/>
      <c r="D199" s="9"/>
      <c r="E199" s="9"/>
      <c r="F199" s="9"/>
      <c r="G199" s="9"/>
    </row>
    <row r="200" spans="1:7" x14ac:dyDescent="0.25">
      <c r="A200" s="9"/>
      <c r="B200" s="9"/>
      <c r="C200" s="9"/>
      <c r="D200" s="9"/>
      <c r="E200" s="9"/>
      <c r="F200" s="9"/>
      <c r="G200" s="9"/>
    </row>
    <row r="201" spans="1:7" x14ac:dyDescent="0.25">
      <c r="A201" s="9"/>
      <c r="B201" s="9"/>
      <c r="C201" s="9"/>
      <c r="D201" s="9"/>
      <c r="E201" s="9"/>
      <c r="F201" s="9"/>
      <c r="G201" s="9"/>
    </row>
    <row r="202" spans="1:7" x14ac:dyDescent="0.25">
      <c r="A202" s="9"/>
      <c r="B202" s="9"/>
      <c r="C202" s="9"/>
      <c r="D202" s="9"/>
      <c r="E202" s="9"/>
      <c r="F202" s="9"/>
      <c r="G202" s="9"/>
    </row>
    <row r="203" spans="1:7" x14ac:dyDescent="0.25">
      <c r="A203" s="9"/>
      <c r="B203" s="9"/>
      <c r="C203" s="9"/>
      <c r="D203" s="9"/>
      <c r="E203" s="9"/>
      <c r="F203" s="9"/>
      <c r="G203" s="9"/>
    </row>
    <row r="204" spans="1:7" x14ac:dyDescent="0.25">
      <c r="A204" s="9"/>
      <c r="B204" s="9"/>
      <c r="C204" s="9"/>
      <c r="D204" s="9"/>
      <c r="E204" s="9"/>
      <c r="F204" s="9"/>
      <c r="G204" s="9"/>
    </row>
    <row r="205" spans="1:7" x14ac:dyDescent="0.25">
      <c r="A205" s="9"/>
      <c r="B205" s="9"/>
      <c r="C205" s="9"/>
      <c r="D205" s="9"/>
      <c r="E205" s="9"/>
      <c r="F205" s="9"/>
      <c r="G205" s="9"/>
    </row>
    <row r="206" spans="1:7" x14ac:dyDescent="0.25">
      <c r="A206" s="9"/>
      <c r="B206" s="9"/>
      <c r="C206" s="9"/>
      <c r="D206" s="9"/>
      <c r="E206" s="9"/>
      <c r="F206" s="9"/>
      <c r="G206" s="9"/>
    </row>
    <row r="207" spans="1:7" x14ac:dyDescent="0.25">
      <c r="A207" s="9"/>
      <c r="B207" s="9"/>
      <c r="C207" s="9"/>
      <c r="D207" s="9"/>
      <c r="E207" s="9"/>
      <c r="F207" s="9"/>
      <c r="G207" s="9"/>
    </row>
    <row r="208" spans="1:7" x14ac:dyDescent="0.25">
      <c r="A208" s="9"/>
      <c r="B208" s="9"/>
      <c r="C208" s="9"/>
      <c r="D208" s="9"/>
      <c r="E208" s="9"/>
      <c r="F208" s="9"/>
      <c r="G208" s="9"/>
    </row>
    <row r="209" spans="1:7" x14ac:dyDescent="0.25">
      <c r="A209" s="9"/>
      <c r="B209" s="9"/>
      <c r="C209" s="9"/>
      <c r="D209" s="9"/>
      <c r="E209" s="9"/>
      <c r="F209" s="9"/>
      <c r="G209" s="9"/>
    </row>
    <row r="210" spans="1:7" x14ac:dyDescent="0.25">
      <c r="A210" s="9"/>
      <c r="B210" s="9"/>
      <c r="C210" s="9"/>
      <c r="D210" s="9"/>
      <c r="E210" s="9"/>
      <c r="F210" s="9"/>
      <c r="G210" s="9"/>
    </row>
    <row r="211" spans="1:7" x14ac:dyDescent="0.25">
      <c r="A211" s="9"/>
      <c r="B211" s="9"/>
      <c r="C211" s="9"/>
      <c r="D211" s="9"/>
      <c r="E211" s="9"/>
      <c r="F211" s="9"/>
      <c r="G211" s="9"/>
    </row>
    <row r="212" spans="1:7" x14ac:dyDescent="0.25">
      <c r="A212" s="9"/>
      <c r="B212" s="9"/>
      <c r="C212" s="9"/>
      <c r="D212" s="9"/>
      <c r="E212" s="9"/>
      <c r="F212" s="9"/>
      <c r="G212" s="9"/>
    </row>
    <row r="213" spans="1:7" x14ac:dyDescent="0.25">
      <c r="A213" s="9"/>
      <c r="B213" s="9"/>
      <c r="C213" s="9"/>
      <c r="D213" s="9"/>
      <c r="E213" s="9"/>
      <c r="F213" s="9"/>
      <c r="G213" s="9"/>
    </row>
    <row r="214" spans="1:7" x14ac:dyDescent="0.25">
      <c r="A214" s="9"/>
      <c r="B214" s="9"/>
      <c r="C214" s="9"/>
      <c r="D214" s="9"/>
      <c r="E214" s="9"/>
      <c r="F214" s="9"/>
      <c r="G214" s="9"/>
    </row>
    <row r="215" spans="1:7" x14ac:dyDescent="0.25">
      <c r="A215" s="9"/>
      <c r="B215" s="9"/>
      <c r="C215" s="9"/>
      <c r="D215" s="9"/>
      <c r="E215" s="9"/>
      <c r="F215" s="9"/>
      <c r="G215" s="9"/>
    </row>
    <row r="216" spans="1:7" x14ac:dyDescent="0.25">
      <c r="A216" s="9"/>
      <c r="B216" s="9"/>
      <c r="C216" s="9"/>
      <c r="D216" s="9"/>
      <c r="E216" s="9"/>
      <c r="F216" s="9"/>
      <c r="G216" s="9"/>
    </row>
    <row r="217" spans="1:7" x14ac:dyDescent="0.25">
      <c r="A217" s="9"/>
      <c r="B217" s="9"/>
      <c r="C217" s="9"/>
      <c r="D217" s="9"/>
      <c r="E217" s="9"/>
      <c r="F217" s="9"/>
      <c r="G217" s="9"/>
    </row>
    <row r="218" spans="1:7" x14ac:dyDescent="0.25">
      <c r="A218" s="9"/>
      <c r="B218" s="9"/>
      <c r="C218" s="9"/>
      <c r="D218" s="9"/>
      <c r="E218" s="9"/>
      <c r="F218" s="9"/>
      <c r="G218" s="9"/>
    </row>
    <row r="219" spans="1:7" x14ac:dyDescent="0.25">
      <c r="A219" s="9"/>
      <c r="B219" s="9"/>
      <c r="C219" s="9"/>
      <c r="D219" s="9"/>
      <c r="E219" s="9"/>
      <c r="F219" s="9"/>
      <c r="G219" s="9"/>
    </row>
    <row r="220" spans="1:7" x14ac:dyDescent="0.25">
      <c r="A220" s="9"/>
      <c r="B220" s="9"/>
      <c r="C220" s="9"/>
      <c r="D220" s="9"/>
      <c r="E220" s="9"/>
      <c r="F220" s="9"/>
      <c r="G220" s="9"/>
    </row>
    <row r="221" spans="1:7" x14ac:dyDescent="0.25">
      <c r="A221" s="9"/>
      <c r="B221" s="9"/>
      <c r="C221" s="9"/>
      <c r="D221" s="9"/>
      <c r="E221" s="9"/>
      <c r="F221" s="9"/>
      <c r="G221" s="9"/>
    </row>
    <row r="222" spans="1:7" x14ac:dyDescent="0.25">
      <c r="A222" s="9"/>
      <c r="B222" s="9"/>
      <c r="C222" s="9"/>
      <c r="D222" s="9"/>
      <c r="E222" s="9"/>
      <c r="F222" s="9"/>
      <c r="G222" s="9"/>
    </row>
    <row r="223" spans="1:7" x14ac:dyDescent="0.25">
      <c r="A223" s="9"/>
      <c r="B223" s="9"/>
      <c r="C223" s="9"/>
      <c r="D223" s="9"/>
      <c r="E223" s="9"/>
      <c r="F223" s="9"/>
      <c r="G223" s="9"/>
    </row>
    <row r="224" spans="1:7" x14ac:dyDescent="0.25">
      <c r="A224" s="9"/>
      <c r="B224" s="9"/>
      <c r="C224" s="9"/>
      <c r="D224" s="9"/>
      <c r="E224" s="9"/>
      <c r="F224" s="9"/>
      <c r="G224" s="9"/>
    </row>
    <row r="225" spans="1:7" x14ac:dyDescent="0.25">
      <c r="A225" s="9"/>
      <c r="B225" s="9"/>
      <c r="C225" s="9"/>
      <c r="D225" s="9"/>
      <c r="E225" s="9"/>
      <c r="F225" s="9"/>
      <c r="G225" s="9"/>
    </row>
    <row r="226" spans="1:7" x14ac:dyDescent="0.25">
      <c r="A226" s="9"/>
      <c r="B226" s="9"/>
      <c r="C226" s="9"/>
      <c r="D226" s="9"/>
      <c r="E226" s="9"/>
      <c r="F226" s="9"/>
      <c r="G226" s="9"/>
    </row>
    <row r="227" spans="1:7" x14ac:dyDescent="0.25">
      <c r="A227" s="9"/>
      <c r="B227" s="9"/>
      <c r="C227" s="9"/>
      <c r="D227" s="9"/>
      <c r="E227" s="9"/>
      <c r="F227" s="9"/>
      <c r="G227" s="9"/>
    </row>
    <row r="228" spans="1:7" x14ac:dyDescent="0.25">
      <c r="A228" s="9"/>
      <c r="B228" s="9"/>
      <c r="C228" s="9"/>
      <c r="D228" s="9"/>
      <c r="E228" s="9"/>
      <c r="F228" s="9"/>
      <c r="G228" s="9"/>
    </row>
    <row r="229" spans="1:7" x14ac:dyDescent="0.25">
      <c r="A229" s="9"/>
      <c r="B229" s="9"/>
      <c r="C229" s="9"/>
      <c r="D229" s="9"/>
      <c r="E229" s="9"/>
      <c r="F229" s="9"/>
      <c r="G229" s="9"/>
    </row>
    <row r="230" spans="1:7" x14ac:dyDescent="0.25">
      <c r="A230" s="9"/>
      <c r="B230" s="9"/>
      <c r="C230" s="9"/>
      <c r="D230" s="9"/>
      <c r="E230" s="9"/>
      <c r="F230" s="9"/>
      <c r="G230" s="9"/>
    </row>
    <row r="231" spans="1:7" x14ac:dyDescent="0.25">
      <c r="A231" s="9"/>
      <c r="B231" s="9"/>
      <c r="C231" s="9"/>
      <c r="D231" s="9"/>
      <c r="E231" s="9"/>
      <c r="F231" s="9"/>
      <c r="G231" s="9"/>
    </row>
    <row r="232" spans="1:7" x14ac:dyDescent="0.25">
      <c r="A232" s="9"/>
      <c r="B232" s="9"/>
      <c r="C232" s="9"/>
      <c r="D232" s="9"/>
      <c r="E232" s="9"/>
      <c r="F232" s="9"/>
      <c r="G232" s="9"/>
    </row>
    <row r="233" spans="1:7" x14ac:dyDescent="0.25">
      <c r="A233" s="9"/>
      <c r="B233" s="9"/>
      <c r="C233" s="9"/>
      <c r="D233" s="9"/>
      <c r="E233" s="9"/>
      <c r="F233" s="9"/>
      <c r="G233" s="9"/>
    </row>
    <row r="234" spans="1:7" x14ac:dyDescent="0.25">
      <c r="A234" s="9"/>
      <c r="B234" s="9"/>
      <c r="C234" s="9"/>
      <c r="D234" s="9"/>
      <c r="E234" s="9"/>
      <c r="F234" s="9"/>
      <c r="G234" s="9"/>
    </row>
    <row r="235" spans="1:7" x14ac:dyDescent="0.25">
      <c r="A235" s="9"/>
      <c r="B235" s="9"/>
      <c r="C235" s="9"/>
      <c r="D235" s="9"/>
      <c r="E235" s="9"/>
      <c r="F235" s="9"/>
      <c r="G235" s="9"/>
    </row>
    <row r="236" spans="1:7" x14ac:dyDescent="0.25">
      <c r="A236" s="9"/>
      <c r="B236" s="9"/>
      <c r="C236" s="9"/>
      <c r="D236" s="9"/>
      <c r="E236" s="9"/>
      <c r="F236" s="9"/>
      <c r="G236" s="9"/>
    </row>
    <row r="237" spans="1:7" x14ac:dyDescent="0.25">
      <c r="A237" s="9"/>
      <c r="B237" s="9"/>
      <c r="C237" s="9"/>
      <c r="D237" s="9"/>
      <c r="E237" s="9"/>
      <c r="F237" s="9"/>
      <c r="G237" s="9"/>
    </row>
    <row r="238" spans="1:7" x14ac:dyDescent="0.25">
      <c r="A238" s="9"/>
      <c r="B238" s="9"/>
      <c r="C238" s="9"/>
      <c r="D238" s="9"/>
      <c r="E238" s="9"/>
      <c r="F238" s="9"/>
      <c r="G238" s="9"/>
    </row>
    <row r="239" spans="1:7" x14ac:dyDescent="0.25">
      <c r="A239" s="9"/>
      <c r="B239" s="9"/>
      <c r="C239" s="9"/>
      <c r="D239" s="9"/>
      <c r="E239" s="9"/>
      <c r="F239" s="9"/>
      <c r="G239" s="9"/>
    </row>
    <row r="240" spans="1:7" x14ac:dyDescent="0.25">
      <c r="A240" s="9"/>
      <c r="B240" s="9"/>
      <c r="C240" s="9"/>
      <c r="D240" s="9"/>
      <c r="E240" s="9"/>
      <c r="F240" s="9"/>
      <c r="G240" s="9"/>
    </row>
    <row r="241" spans="1:7" x14ac:dyDescent="0.25">
      <c r="A241" s="9"/>
      <c r="B241" s="9"/>
      <c r="C241" s="9"/>
      <c r="D241" s="9"/>
      <c r="E241" s="9"/>
      <c r="F241" s="9"/>
      <c r="G241" s="9"/>
    </row>
    <row r="242" spans="1:7" x14ac:dyDescent="0.25">
      <c r="A242" s="9"/>
      <c r="B242" s="9"/>
      <c r="C242" s="9"/>
      <c r="D242" s="9"/>
      <c r="E242" s="9"/>
      <c r="F242" s="9"/>
      <c r="G242" s="9"/>
    </row>
    <row r="243" spans="1:7" x14ac:dyDescent="0.25">
      <c r="A243" s="9"/>
      <c r="B243" s="9"/>
      <c r="C243" s="9"/>
      <c r="D243" s="9"/>
      <c r="E243" s="9"/>
      <c r="F243" s="9"/>
      <c r="G243" s="9"/>
    </row>
    <row r="244" spans="1:7" x14ac:dyDescent="0.25">
      <c r="A244" s="9"/>
      <c r="B244" s="9"/>
      <c r="C244" s="9"/>
      <c r="D244" s="9"/>
      <c r="E244" s="9"/>
      <c r="F244" s="9"/>
      <c r="G244" s="9"/>
    </row>
    <row r="245" spans="1:7" x14ac:dyDescent="0.25">
      <c r="A245" s="9"/>
      <c r="B245" s="9"/>
      <c r="C245" s="9"/>
      <c r="D245" s="9"/>
      <c r="E245" s="9"/>
      <c r="F245" s="9"/>
      <c r="G245" s="9"/>
    </row>
    <row r="246" spans="1:7" x14ac:dyDescent="0.25">
      <c r="A246" s="9"/>
      <c r="B246" s="9"/>
      <c r="C246" s="9"/>
      <c r="D246" s="9"/>
      <c r="E246" s="9"/>
      <c r="F246" s="9"/>
      <c r="G246" s="9"/>
    </row>
    <row r="247" spans="1:7" x14ac:dyDescent="0.25">
      <c r="A247" s="9"/>
      <c r="B247" s="9"/>
      <c r="C247" s="9"/>
      <c r="D247" s="9"/>
      <c r="E247" s="9"/>
      <c r="F247" s="9"/>
      <c r="G247" s="9"/>
    </row>
    <row r="248" spans="1:7" x14ac:dyDescent="0.25">
      <c r="A248" s="9"/>
      <c r="B248" s="9"/>
      <c r="C248" s="9"/>
      <c r="D248" s="9"/>
      <c r="E248" s="9"/>
      <c r="F248" s="9"/>
      <c r="G248" s="9"/>
    </row>
    <row r="249" spans="1:7" x14ac:dyDescent="0.25">
      <c r="A249" s="9"/>
      <c r="B249" s="9"/>
      <c r="C249" s="9"/>
      <c r="D249" s="9"/>
      <c r="E249" s="9"/>
      <c r="F249" s="9"/>
      <c r="G249" s="9"/>
    </row>
    <row r="250" spans="1:7" x14ac:dyDescent="0.25">
      <c r="A250" s="9"/>
      <c r="B250" s="9"/>
      <c r="C250" s="9"/>
      <c r="D250" s="9"/>
      <c r="E250" s="9"/>
      <c r="F250" s="9"/>
      <c r="G250" s="9"/>
    </row>
    <row r="251" spans="1:7" x14ac:dyDescent="0.25">
      <c r="A251" s="9"/>
      <c r="B251" s="9"/>
      <c r="C251" s="9"/>
      <c r="D251" s="9"/>
      <c r="E251" s="9"/>
      <c r="F251" s="9"/>
      <c r="G251" s="9"/>
    </row>
    <row r="252" spans="1:7" x14ac:dyDescent="0.25">
      <c r="A252" s="9"/>
      <c r="B252" s="9"/>
      <c r="C252" s="9"/>
      <c r="D252" s="9"/>
      <c r="E252" s="9"/>
      <c r="F252" s="9"/>
      <c r="G252" s="9"/>
    </row>
    <row r="253" spans="1:7" x14ac:dyDescent="0.25">
      <c r="A253" s="9"/>
      <c r="B253" s="9"/>
      <c r="C253" s="9"/>
      <c r="D253" s="9"/>
      <c r="E253" s="9"/>
      <c r="F253" s="9"/>
      <c r="G253" s="9"/>
    </row>
    <row r="254" spans="1:7" x14ac:dyDescent="0.25">
      <c r="A254" s="9"/>
      <c r="B254" s="9"/>
      <c r="C254" s="9"/>
      <c r="D254" s="9"/>
      <c r="E254" s="9"/>
      <c r="F254" s="9"/>
      <c r="G254" s="9"/>
    </row>
    <row r="255" spans="1:7" x14ac:dyDescent="0.25">
      <c r="A255" s="9"/>
      <c r="B255" s="9"/>
      <c r="C255" s="9"/>
      <c r="D255" s="9"/>
      <c r="E255" s="9"/>
      <c r="F255" s="9"/>
      <c r="G255" s="9"/>
    </row>
    <row r="256" spans="1:7" x14ac:dyDescent="0.25">
      <c r="A256" s="9"/>
      <c r="B256" s="9"/>
      <c r="C256" s="9"/>
      <c r="D256" s="9"/>
      <c r="E256" s="9"/>
      <c r="F256" s="9"/>
      <c r="G256" s="9"/>
    </row>
    <row r="257" spans="1:7" x14ac:dyDescent="0.25">
      <c r="A257" s="9"/>
      <c r="B257" s="9"/>
      <c r="C257" s="9"/>
      <c r="D257" s="9"/>
      <c r="E257" s="9"/>
      <c r="F257" s="9"/>
      <c r="G257" s="9"/>
    </row>
    <row r="258" spans="1:7" x14ac:dyDescent="0.25">
      <c r="A258" s="9"/>
      <c r="B258" s="9"/>
      <c r="C258" s="9"/>
      <c r="D258" s="9"/>
      <c r="E258" s="9"/>
      <c r="F258" s="9"/>
      <c r="G258" s="9"/>
    </row>
    <row r="259" spans="1:7" x14ac:dyDescent="0.25">
      <c r="A259" s="9"/>
      <c r="B259" s="9"/>
      <c r="C259" s="9"/>
      <c r="D259" s="9"/>
      <c r="E259" s="9"/>
      <c r="F259" s="9"/>
      <c r="G259" s="9"/>
    </row>
    <row r="260" spans="1:7" x14ac:dyDescent="0.25">
      <c r="A260" s="9"/>
      <c r="B260" s="9"/>
      <c r="C260" s="9"/>
      <c r="D260" s="9"/>
      <c r="E260" s="9"/>
      <c r="F260" s="9"/>
      <c r="G260" s="9"/>
    </row>
    <row r="261" spans="1:7" x14ac:dyDescent="0.25">
      <c r="A261" s="9"/>
      <c r="B261" s="9"/>
      <c r="C261" s="9"/>
      <c r="D261" s="9"/>
      <c r="E261" s="9"/>
      <c r="F261" s="9"/>
      <c r="G261" s="9"/>
    </row>
    <row r="262" spans="1:7" x14ac:dyDescent="0.25">
      <c r="A262" s="9"/>
      <c r="B262" s="9"/>
      <c r="C262" s="9"/>
      <c r="D262" s="9"/>
      <c r="E262" s="9"/>
      <c r="F262" s="9"/>
      <c r="G262" s="9"/>
    </row>
    <row r="263" spans="1:7" x14ac:dyDescent="0.25">
      <c r="A263" s="9"/>
      <c r="B263" s="9"/>
      <c r="C263" s="9"/>
      <c r="D263" s="9"/>
      <c r="E263" s="9"/>
      <c r="F263" s="9"/>
      <c r="G263" s="9"/>
    </row>
    <row r="264" spans="1:7" x14ac:dyDescent="0.25">
      <c r="A264" s="9"/>
      <c r="B264" s="9"/>
      <c r="C264" s="9"/>
      <c r="D264" s="9"/>
      <c r="E264" s="9"/>
      <c r="F264" s="9"/>
      <c r="G264" s="9"/>
    </row>
    <row r="265" spans="1:7" x14ac:dyDescent="0.25">
      <c r="A265" s="9"/>
      <c r="B265" s="9"/>
      <c r="C265" s="9"/>
      <c r="D265" s="9"/>
      <c r="E265" s="9"/>
      <c r="F265" s="9"/>
      <c r="G265" s="9"/>
    </row>
    <row r="266" spans="1:7" x14ac:dyDescent="0.25">
      <c r="A266" s="9"/>
      <c r="B266" s="9"/>
      <c r="C266" s="9"/>
      <c r="D266" s="9"/>
      <c r="E266" s="9"/>
      <c r="F266" s="9"/>
      <c r="G266" s="9"/>
    </row>
    <row r="267" spans="1:7" x14ac:dyDescent="0.25">
      <c r="A267" s="9"/>
      <c r="B267" s="9"/>
      <c r="C267" s="9"/>
      <c r="D267" s="9"/>
      <c r="E267" s="9"/>
      <c r="F267" s="9"/>
      <c r="G267" s="9"/>
    </row>
    <row r="268" spans="1:7" x14ac:dyDescent="0.25">
      <c r="A268" s="9"/>
      <c r="B268" s="9"/>
      <c r="C268" s="9"/>
      <c r="D268" s="9"/>
      <c r="E268" s="9"/>
      <c r="F268" s="9"/>
      <c r="G268" s="9"/>
    </row>
    <row r="269" spans="1:7" x14ac:dyDescent="0.25">
      <c r="A269" s="9"/>
      <c r="B269" s="9"/>
      <c r="C269" s="9"/>
      <c r="D269" s="9"/>
      <c r="E269" s="9"/>
      <c r="F269" s="9"/>
      <c r="G269" s="9"/>
    </row>
    <row r="270" spans="1:7" x14ac:dyDescent="0.25">
      <c r="A270" s="9"/>
      <c r="B270" s="9"/>
      <c r="C270" s="9"/>
      <c r="D270" s="9"/>
      <c r="E270" s="9"/>
      <c r="F270" s="9"/>
      <c r="G270" s="9"/>
    </row>
    <row r="271" spans="1:7" x14ac:dyDescent="0.25">
      <c r="A271" s="9"/>
      <c r="B271" s="9"/>
      <c r="C271" s="9"/>
      <c r="D271" s="9"/>
      <c r="E271" s="9"/>
      <c r="F271" s="9"/>
      <c r="G271" s="9"/>
    </row>
    <row r="272" spans="1:7" x14ac:dyDescent="0.25">
      <c r="A272" s="9"/>
      <c r="B272" s="9"/>
      <c r="C272" s="9"/>
      <c r="D272" s="9"/>
      <c r="E272" s="9"/>
      <c r="F272" s="9"/>
      <c r="G272" s="9"/>
    </row>
    <row r="273" spans="1:7" x14ac:dyDescent="0.25">
      <c r="A273" s="9"/>
      <c r="B273" s="9"/>
      <c r="C273" s="9"/>
      <c r="D273" s="9"/>
      <c r="E273" s="9"/>
      <c r="F273" s="9"/>
      <c r="G273" s="9"/>
    </row>
    <row r="274" spans="1:7" x14ac:dyDescent="0.25">
      <c r="A274" s="9"/>
      <c r="B274" s="9"/>
      <c r="C274" s="9"/>
      <c r="D274" s="9"/>
      <c r="E274" s="9"/>
      <c r="F274" s="9"/>
      <c r="G274" s="9"/>
    </row>
    <row r="275" spans="1:7" x14ac:dyDescent="0.25">
      <c r="A275" s="9"/>
      <c r="B275" s="9"/>
      <c r="C275" s="9"/>
      <c r="D275" s="9"/>
      <c r="E275" s="9"/>
      <c r="F275" s="9"/>
      <c r="G275" s="9"/>
    </row>
    <row r="276" spans="1:7" x14ac:dyDescent="0.25">
      <c r="A276" s="9"/>
      <c r="B276" s="9"/>
      <c r="C276" s="9"/>
      <c r="D276" s="9"/>
      <c r="E276" s="9"/>
      <c r="F276" s="9"/>
      <c r="G276" s="9"/>
    </row>
    <row r="277" spans="1:7" x14ac:dyDescent="0.25">
      <c r="A277" s="9"/>
      <c r="B277" s="9"/>
      <c r="C277" s="9"/>
      <c r="D277" s="9"/>
      <c r="E277" s="9"/>
      <c r="F277" s="9"/>
      <c r="G277" s="9"/>
    </row>
    <row r="278" spans="1:7" x14ac:dyDescent="0.25">
      <c r="A278" s="9"/>
      <c r="B278" s="9"/>
      <c r="C278" s="9"/>
      <c r="D278" s="9"/>
      <c r="E278" s="9"/>
      <c r="F278" s="9"/>
      <c r="G278" s="9"/>
    </row>
    <row r="279" spans="1:7" x14ac:dyDescent="0.25">
      <c r="A279" s="9"/>
      <c r="B279" s="9"/>
      <c r="C279" s="9"/>
      <c r="D279" s="9"/>
      <c r="E279" s="9"/>
      <c r="F279" s="9"/>
      <c r="G279" s="9"/>
    </row>
    <row r="280" spans="1:7" x14ac:dyDescent="0.25">
      <c r="A280" s="9"/>
      <c r="B280" s="9"/>
      <c r="C280" s="9"/>
      <c r="D280" s="9"/>
      <c r="E280" s="9"/>
      <c r="F280" s="9"/>
      <c r="G280" s="9"/>
    </row>
    <row r="281" spans="1:7" x14ac:dyDescent="0.25">
      <c r="A281" s="9"/>
      <c r="B281" s="9"/>
      <c r="C281" s="9"/>
      <c r="D281" s="9"/>
      <c r="E281" s="9"/>
      <c r="F281" s="9"/>
      <c r="G281" s="9"/>
    </row>
    <row r="282" spans="1:7" x14ac:dyDescent="0.25">
      <c r="A282" s="9"/>
      <c r="B282" s="9"/>
      <c r="C282" s="9"/>
      <c r="D282" s="9"/>
      <c r="E282" s="9"/>
      <c r="F282" s="9"/>
      <c r="G282" s="9"/>
    </row>
    <row r="283" spans="1:7" x14ac:dyDescent="0.25">
      <c r="A283" s="9"/>
      <c r="B283" s="9"/>
      <c r="C283" s="9"/>
      <c r="D283" s="9"/>
      <c r="E283" s="9"/>
      <c r="F283" s="9"/>
      <c r="G283" s="9"/>
    </row>
    <row r="284" spans="1:7" x14ac:dyDescent="0.25">
      <c r="A284" s="9"/>
      <c r="B284" s="9"/>
      <c r="C284" s="9"/>
      <c r="D284" s="9"/>
      <c r="E284" s="9"/>
      <c r="F284" s="9"/>
      <c r="G284" s="9"/>
    </row>
    <row r="285" spans="1:7" x14ac:dyDescent="0.25">
      <c r="A285" s="9"/>
      <c r="B285" s="9"/>
      <c r="C285" s="9"/>
      <c r="D285" s="9"/>
      <c r="E285" s="9"/>
      <c r="F285" s="9"/>
      <c r="G285" s="9"/>
    </row>
    <row r="286" spans="1:7" x14ac:dyDescent="0.25">
      <c r="A286" s="9"/>
      <c r="B286" s="9"/>
      <c r="C286" s="9"/>
      <c r="D286" s="9"/>
      <c r="E286" s="9"/>
      <c r="F286" s="9"/>
      <c r="G286" s="9"/>
    </row>
    <row r="287" spans="1:7" x14ac:dyDescent="0.25">
      <c r="A287" s="9"/>
      <c r="B287" s="9"/>
      <c r="C287" s="9"/>
      <c r="D287" s="9"/>
      <c r="E287" s="9"/>
      <c r="F287" s="9"/>
      <c r="G287" s="9"/>
    </row>
    <row r="288" spans="1:7" x14ac:dyDescent="0.25">
      <c r="A288" s="9"/>
      <c r="B288" s="9"/>
      <c r="C288" s="9"/>
      <c r="D288" s="9"/>
      <c r="E288" s="9"/>
      <c r="F288" s="9"/>
      <c r="G288" s="9"/>
    </row>
    <row r="289" spans="1:7" x14ac:dyDescent="0.25">
      <c r="A289" s="9"/>
      <c r="B289" s="9"/>
      <c r="C289" s="9"/>
      <c r="D289" s="9"/>
      <c r="E289" s="9"/>
      <c r="F289" s="9"/>
      <c r="G289" s="9"/>
    </row>
    <row r="290" spans="1:7" x14ac:dyDescent="0.25">
      <c r="A290" s="9"/>
      <c r="B290" s="9"/>
      <c r="C290" s="9"/>
      <c r="D290" s="9"/>
      <c r="E290" s="9"/>
      <c r="F290" s="9"/>
      <c r="G290" s="9"/>
    </row>
    <row r="291" spans="1:7" x14ac:dyDescent="0.25">
      <c r="A291" s="9"/>
      <c r="B291" s="9"/>
      <c r="C291" s="9"/>
      <c r="D291" s="9"/>
      <c r="E291" s="9"/>
      <c r="F291" s="9"/>
      <c r="G291" s="9"/>
    </row>
    <row r="292" spans="1:7" x14ac:dyDescent="0.25">
      <c r="A292" s="9"/>
      <c r="B292" s="9"/>
      <c r="C292" s="9"/>
      <c r="D292" s="9"/>
      <c r="E292" s="9"/>
      <c r="F292" s="9"/>
      <c r="G292" s="9"/>
    </row>
    <row r="293" spans="1:7" x14ac:dyDescent="0.25">
      <c r="A293" s="9"/>
      <c r="B293" s="9"/>
      <c r="C293" s="9"/>
      <c r="D293" s="9"/>
      <c r="E293" s="9"/>
      <c r="F293" s="9"/>
      <c r="G293" s="9"/>
    </row>
    <row r="294" spans="1:7" x14ac:dyDescent="0.25">
      <c r="A294" s="9"/>
      <c r="B294" s="9"/>
      <c r="C294" s="9"/>
      <c r="D294" s="9"/>
      <c r="E294" s="9"/>
      <c r="F294" s="9"/>
      <c r="G294" s="9"/>
    </row>
    <row r="295" spans="1:7" x14ac:dyDescent="0.25">
      <c r="A295" s="9"/>
      <c r="B295" s="9"/>
      <c r="C295" s="9"/>
      <c r="D295" s="9"/>
      <c r="E295" s="9"/>
      <c r="F295" s="9"/>
      <c r="G295" s="9"/>
    </row>
    <row r="296" spans="1:7" x14ac:dyDescent="0.25">
      <c r="A296" s="9"/>
      <c r="B296" s="9"/>
      <c r="C296" s="9"/>
      <c r="D296" s="9"/>
      <c r="E296" s="9"/>
      <c r="F296" s="9"/>
      <c r="G296" s="9"/>
    </row>
    <row r="297" spans="1:7" x14ac:dyDescent="0.25">
      <c r="A297" s="9"/>
      <c r="B297" s="9"/>
      <c r="C297" s="9"/>
      <c r="D297" s="9"/>
      <c r="E297" s="9"/>
      <c r="F297" s="9"/>
      <c r="G297" s="9"/>
    </row>
    <row r="298" spans="1:7" x14ac:dyDescent="0.25">
      <c r="A298" s="9"/>
      <c r="B298" s="9"/>
      <c r="C298" s="9"/>
      <c r="D298" s="9"/>
      <c r="E298" s="9"/>
      <c r="F298" s="9"/>
      <c r="G298" s="9"/>
    </row>
    <row r="299" spans="1:7" x14ac:dyDescent="0.25">
      <c r="A299" s="9"/>
      <c r="B299" s="9"/>
      <c r="C299" s="9"/>
      <c r="D299" s="9"/>
      <c r="E299" s="9"/>
      <c r="F299" s="9"/>
      <c r="G299" s="9"/>
    </row>
    <row r="300" spans="1:7" x14ac:dyDescent="0.25">
      <c r="A300" s="9"/>
      <c r="B300" s="9"/>
      <c r="C300" s="9"/>
      <c r="D300" s="9"/>
      <c r="E300" s="9"/>
      <c r="F300" s="9"/>
      <c r="G300" s="9"/>
    </row>
    <row r="301" spans="1:7" x14ac:dyDescent="0.25">
      <c r="A301" s="9"/>
      <c r="B301" s="9"/>
      <c r="C301" s="9"/>
      <c r="D301" s="9"/>
      <c r="E301" s="9"/>
      <c r="F301" s="9"/>
      <c r="G301" s="9"/>
    </row>
    <row r="302" spans="1:7" x14ac:dyDescent="0.25">
      <c r="A302" s="9"/>
      <c r="B302" s="9"/>
      <c r="C302" s="9"/>
      <c r="D302" s="9"/>
      <c r="E302" s="9"/>
      <c r="F302" s="9"/>
      <c r="G302" s="9"/>
    </row>
    <row r="303" spans="1:7" x14ac:dyDescent="0.25">
      <c r="A303" s="9"/>
      <c r="B303" s="9"/>
      <c r="C303" s="9"/>
      <c r="D303" s="9"/>
      <c r="E303" s="9"/>
      <c r="F303" s="9"/>
      <c r="G303" s="9"/>
    </row>
    <row r="304" spans="1:7" x14ac:dyDescent="0.25">
      <c r="A304" s="9"/>
      <c r="B304" s="9"/>
      <c r="C304" s="9"/>
      <c r="D304" s="9"/>
      <c r="E304" s="9"/>
      <c r="F304" s="9"/>
      <c r="G304" s="9"/>
    </row>
    <row r="305" spans="1:7" x14ac:dyDescent="0.25">
      <c r="A305" s="9"/>
      <c r="B305" s="9"/>
      <c r="C305" s="9"/>
      <c r="D305" s="9"/>
      <c r="E305" s="9"/>
      <c r="F305" s="9"/>
      <c r="G305" s="9"/>
    </row>
    <row r="306" spans="1:7" x14ac:dyDescent="0.25">
      <c r="A306" s="9"/>
      <c r="B306" s="9"/>
      <c r="C306" s="9"/>
      <c r="D306" s="9"/>
      <c r="E306" s="9"/>
      <c r="F306" s="9"/>
      <c r="G306" s="9"/>
    </row>
    <row r="307" spans="1:7" x14ac:dyDescent="0.25">
      <c r="A307" s="9"/>
      <c r="B307" s="9"/>
      <c r="C307" s="9"/>
      <c r="D307" s="9"/>
      <c r="E307" s="9"/>
      <c r="F307" s="9"/>
      <c r="G307" s="9"/>
    </row>
    <row r="308" spans="1:7" x14ac:dyDescent="0.25">
      <c r="A308" s="9"/>
      <c r="B308" s="9"/>
      <c r="C308" s="9"/>
      <c r="D308" s="9"/>
      <c r="E308" s="9"/>
      <c r="F308" s="9"/>
      <c r="G308" s="9"/>
    </row>
    <row r="309" spans="1:7" x14ac:dyDescent="0.25">
      <c r="A309" s="9"/>
      <c r="B309" s="9"/>
      <c r="C309" s="9"/>
      <c r="D309" s="9"/>
      <c r="E309" s="9"/>
      <c r="F309" s="9"/>
      <c r="G309" s="9"/>
    </row>
    <row r="310" spans="1:7" x14ac:dyDescent="0.25">
      <c r="A310" s="9"/>
      <c r="B310" s="9"/>
      <c r="C310" s="9"/>
      <c r="D310" s="9"/>
      <c r="E310" s="9"/>
      <c r="F310" s="9"/>
      <c r="G310" s="9"/>
    </row>
    <row r="311" spans="1:7" x14ac:dyDescent="0.25">
      <c r="A311" s="9"/>
      <c r="B311" s="9"/>
      <c r="C311" s="9"/>
      <c r="D311" s="9"/>
      <c r="E311" s="9"/>
      <c r="F311" s="9"/>
      <c r="G311" s="9"/>
    </row>
    <row r="312" spans="1:7" x14ac:dyDescent="0.25">
      <c r="A312" s="9"/>
      <c r="B312" s="9"/>
      <c r="C312" s="9"/>
      <c r="D312" s="9"/>
      <c r="E312" s="9"/>
      <c r="F312" s="9"/>
      <c r="G312" s="9"/>
    </row>
    <row r="313" spans="1:7" x14ac:dyDescent="0.25">
      <c r="A313" s="9"/>
      <c r="B313" s="9"/>
      <c r="C313" s="9"/>
      <c r="D313" s="9"/>
      <c r="E313" s="9"/>
      <c r="F313" s="9"/>
      <c r="G313" s="9"/>
    </row>
    <row r="314" spans="1:7" x14ac:dyDescent="0.25">
      <c r="A314" s="9"/>
      <c r="B314" s="9"/>
      <c r="C314" s="9"/>
      <c r="D314" s="9"/>
      <c r="E314" s="9"/>
      <c r="F314" s="9"/>
      <c r="G314" s="9"/>
    </row>
    <row r="315" spans="1:7" x14ac:dyDescent="0.25">
      <c r="A315" s="9"/>
      <c r="B315" s="9"/>
      <c r="C315" s="9"/>
      <c r="D315" s="9"/>
      <c r="E315" s="9"/>
      <c r="F315" s="9"/>
      <c r="G315" s="9"/>
    </row>
    <row r="316" spans="1:7" x14ac:dyDescent="0.25">
      <c r="A316" s="9"/>
      <c r="B316" s="9"/>
      <c r="C316" s="9"/>
      <c r="D316" s="9"/>
      <c r="E316" s="9"/>
      <c r="F316" s="9"/>
      <c r="G316" s="9"/>
    </row>
    <row r="317" spans="1:7" x14ac:dyDescent="0.25">
      <c r="A317" s="9"/>
      <c r="B317" s="9"/>
      <c r="C317" s="9"/>
      <c r="D317" s="9"/>
      <c r="E317" s="9"/>
      <c r="F317" s="9"/>
      <c r="G317" s="9"/>
    </row>
    <row r="318" spans="1:7" x14ac:dyDescent="0.25">
      <c r="A318" s="9"/>
      <c r="B318" s="9"/>
      <c r="C318" s="9"/>
      <c r="D318" s="9"/>
      <c r="E318" s="9"/>
      <c r="F318" s="9"/>
      <c r="G318" s="9"/>
    </row>
    <row r="319" spans="1:7" x14ac:dyDescent="0.25">
      <c r="A319" s="9"/>
      <c r="B319" s="9"/>
      <c r="C319" s="9"/>
      <c r="D319" s="9"/>
      <c r="E319" s="9"/>
      <c r="F319" s="9"/>
      <c r="G319" s="9"/>
    </row>
    <row r="320" spans="1:7" x14ac:dyDescent="0.25">
      <c r="A320" s="9"/>
      <c r="B320" s="9"/>
      <c r="C320" s="9"/>
      <c r="D320" s="9"/>
      <c r="E320" s="9"/>
      <c r="F320" s="9"/>
      <c r="G320" s="9"/>
    </row>
    <row r="321" spans="1:7" x14ac:dyDescent="0.25">
      <c r="A321" s="9"/>
      <c r="B321" s="9"/>
      <c r="C321" s="9"/>
      <c r="D321" s="9"/>
      <c r="E321" s="9"/>
      <c r="F321" s="9"/>
      <c r="G321" s="9"/>
    </row>
    <row r="322" spans="1:7" x14ac:dyDescent="0.25">
      <c r="A322" s="9"/>
      <c r="B322" s="9"/>
      <c r="C322" s="9"/>
      <c r="D322" s="9"/>
      <c r="E322" s="9"/>
      <c r="F322" s="9"/>
      <c r="G322" s="9"/>
    </row>
    <row r="323" spans="1:7" x14ac:dyDescent="0.25">
      <c r="A323" s="9"/>
      <c r="B323" s="9"/>
      <c r="C323" s="9"/>
      <c r="D323" s="9"/>
      <c r="E323" s="9"/>
      <c r="F323" s="9"/>
      <c r="G323" s="9"/>
    </row>
    <row r="324" spans="1:7" x14ac:dyDescent="0.25">
      <c r="A324" s="9"/>
      <c r="B324" s="9"/>
      <c r="C324" s="9"/>
      <c r="D324" s="9"/>
      <c r="E324" s="9"/>
      <c r="F324" s="9"/>
      <c r="G324" s="9"/>
    </row>
    <row r="325" spans="1:7" x14ac:dyDescent="0.25">
      <c r="A325" s="9"/>
      <c r="B325" s="9"/>
      <c r="C325" s="9"/>
      <c r="D325" s="9"/>
      <c r="E325" s="9"/>
      <c r="F325" s="9"/>
      <c r="G325" s="9"/>
    </row>
    <row r="326" spans="1:7" x14ac:dyDescent="0.25">
      <c r="A326" s="9"/>
      <c r="B326" s="9"/>
      <c r="C326" s="9"/>
      <c r="D326" s="9"/>
      <c r="E326" s="9"/>
      <c r="F326" s="9"/>
      <c r="G326" s="9"/>
    </row>
    <row r="327" spans="1:7" x14ac:dyDescent="0.25">
      <c r="A327" s="9"/>
      <c r="B327" s="9"/>
      <c r="C327" s="9"/>
      <c r="D327" s="9"/>
      <c r="E327" s="9"/>
      <c r="F327" s="9"/>
      <c r="G327" s="9"/>
    </row>
    <row r="328" spans="1:7" x14ac:dyDescent="0.25">
      <c r="A328" s="9"/>
      <c r="B328" s="9"/>
      <c r="C328" s="9"/>
      <c r="D328" s="9"/>
      <c r="E328" s="9"/>
      <c r="F328" s="9"/>
      <c r="G328" s="9"/>
    </row>
    <row r="329" spans="1:7" x14ac:dyDescent="0.25">
      <c r="A329" s="9"/>
      <c r="B329" s="9"/>
      <c r="C329" s="9"/>
      <c r="D329" s="9"/>
      <c r="E329" s="9"/>
      <c r="F329" s="9"/>
      <c r="G329" s="9"/>
    </row>
    <row r="330" spans="1:7" x14ac:dyDescent="0.25">
      <c r="A330" s="9"/>
      <c r="B330" s="9"/>
      <c r="C330" s="9"/>
      <c r="D330" s="9"/>
      <c r="E330" s="9"/>
      <c r="F330" s="9"/>
      <c r="G330" s="9"/>
    </row>
    <row r="331" spans="1:7" x14ac:dyDescent="0.25">
      <c r="A331" s="9"/>
      <c r="B331" s="9"/>
      <c r="C331" s="9"/>
      <c r="D331" s="9"/>
      <c r="E331" s="9"/>
      <c r="F331" s="9"/>
      <c r="G331" s="9"/>
    </row>
    <row r="332" spans="1:7" x14ac:dyDescent="0.25">
      <c r="A332" s="9"/>
      <c r="B332" s="9"/>
      <c r="C332" s="9"/>
      <c r="D332" s="9"/>
      <c r="E332" s="9"/>
      <c r="F332" s="9"/>
      <c r="G332" s="9"/>
    </row>
    <row r="333" spans="1:7" x14ac:dyDescent="0.25">
      <c r="A333" s="9"/>
      <c r="B333" s="9"/>
      <c r="C333" s="9"/>
      <c r="D333" s="9"/>
      <c r="E333" s="9"/>
      <c r="F333" s="9"/>
      <c r="G333" s="9"/>
    </row>
    <row r="334" spans="1:7" x14ac:dyDescent="0.25">
      <c r="A334" s="9"/>
      <c r="B334" s="9"/>
      <c r="C334" s="9"/>
      <c r="D334" s="9"/>
      <c r="E334" s="9"/>
      <c r="F334" s="9"/>
      <c r="G334" s="9"/>
    </row>
    <row r="335" spans="1:7" x14ac:dyDescent="0.25">
      <c r="A335" s="9"/>
      <c r="B335" s="9"/>
      <c r="C335" s="9"/>
      <c r="D335" s="9"/>
      <c r="E335" s="9"/>
      <c r="F335" s="9"/>
      <c r="G335" s="9"/>
    </row>
    <row r="336" spans="1:7" x14ac:dyDescent="0.25">
      <c r="A336" s="9"/>
      <c r="B336" s="9"/>
      <c r="C336" s="9"/>
      <c r="D336" s="9"/>
      <c r="E336" s="9"/>
      <c r="F336" s="9"/>
      <c r="G336" s="9"/>
    </row>
    <row r="337" spans="1:7" x14ac:dyDescent="0.25">
      <c r="A337" s="9"/>
      <c r="B337" s="9"/>
      <c r="C337" s="9"/>
      <c r="D337" s="9"/>
      <c r="E337" s="9"/>
      <c r="F337" s="9"/>
      <c r="G337" s="9"/>
    </row>
    <row r="338" spans="1:7" x14ac:dyDescent="0.25">
      <c r="A338" s="9"/>
      <c r="B338" s="9"/>
      <c r="C338" s="9"/>
      <c r="D338" s="9"/>
      <c r="E338" s="9"/>
      <c r="F338" s="9"/>
      <c r="G338" s="9"/>
    </row>
    <row r="339" spans="1:7" x14ac:dyDescent="0.25">
      <c r="A339" s="9"/>
      <c r="B339" s="9"/>
      <c r="C339" s="9"/>
      <c r="D339" s="9"/>
      <c r="E339" s="9"/>
      <c r="F339" s="9"/>
      <c r="G339" s="9"/>
    </row>
    <row r="340" spans="1:7" x14ac:dyDescent="0.25">
      <c r="A340" s="9"/>
      <c r="B340" s="9"/>
      <c r="C340" s="9"/>
      <c r="D340" s="9"/>
      <c r="E340" s="9"/>
      <c r="F340" s="9"/>
      <c r="G340" s="9"/>
    </row>
    <row r="341" spans="1:7" x14ac:dyDescent="0.25">
      <c r="A341" s="9"/>
      <c r="B341" s="9"/>
      <c r="C341" s="9"/>
      <c r="D341" s="9"/>
      <c r="E341" s="9"/>
      <c r="F341" s="9"/>
      <c r="G341" s="9"/>
    </row>
    <row r="342" spans="1:7" x14ac:dyDescent="0.25">
      <c r="A342" s="9"/>
      <c r="B342" s="9"/>
      <c r="C342" s="9"/>
      <c r="D342" s="9"/>
      <c r="E342" s="9"/>
      <c r="F342" s="9"/>
      <c r="G342" s="9"/>
    </row>
    <row r="343" spans="1:7" x14ac:dyDescent="0.25">
      <c r="A343" s="9"/>
      <c r="B343" s="9"/>
      <c r="C343" s="9"/>
      <c r="D343" s="9"/>
      <c r="E343" s="9"/>
      <c r="F343" s="9"/>
      <c r="G343" s="9"/>
    </row>
    <row r="344" spans="1:7" x14ac:dyDescent="0.25">
      <c r="A344" s="9"/>
      <c r="B344" s="9"/>
      <c r="C344" s="9"/>
      <c r="D344" s="9"/>
      <c r="E344" s="9"/>
      <c r="F344" s="9"/>
      <c r="G344" s="9"/>
    </row>
    <row r="345" spans="1:7" x14ac:dyDescent="0.25">
      <c r="A345" s="9"/>
      <c r="B345" s="9"/>
      <c r="C345" s="9"/>
      <c r="D345" s="9"/>
      <c r="E345" s="9"/>
      <c r="F345" s="9"/>
      <c r="G345" s="9"/>
    </row>
    <row r="346" spans="1:7" x14ac:dyDescent="0.25">
      <c r="A346" s="9"/>
      <c r="B346" s="9"/>
      <c r="C346" s="9"/>
      <c r="D346" s="9"/>
      <c r="E346" s="9"/>
      <c r="F346" s="9"/>
      <c r="G346" s="9"/>
    </row>
    <row r="347" spans="1:7" x14ac:dyDescent="0.25">
      <c r="A347" s="9"/>
      <c r="B347" s="9"/>
      <c r="C347" s="9"/>
      <c r="D347" s="9"/>
      <c r="E347" s="9"/>
      <c r="F347" s="9"/>
      <c r="G347" s="9"/>
    </row>
    <row r="348" spans="1:7" x14ac:dyDescent="0.25">
      <c r="A348" s="9"/>
      <c r="B348" s="9"/>
      <c r="C348" s="9"/>
      <c r="D348" s="9"/>
      <c r="E348" s="9"/>
      <c r="F348" s="9"/>
      <c r="G348" s="9"/>
    </row>
    <row r="349" spans="1:7" x14ac:dyDescent="0.25">
      <c r="A349" s="9"/>
      <c r="B349" s="9"/>
      <c r="C349" s="9"/>
      <c r="D349" s="9"/>
      <c r="E349" s="9"/>
      <c r="F349" s="9"/>
      <c r="G349" s="9"/>
    </row>
    <row r="350" spans="1:7" x14ac:dyDescent="0.25">
      <c r="A350" s="9"/>
      <c r="B350" s="9"/>
      <c r="C350" s="9"/>
      <c r="D350" s="9"/>
      <c r="E350" s="9"/>
      <c r="F350" s="9"/>
      <c r="G350" s="9"/>
    </row>
    <row r="351" spans="1:7" x14ac:dyDescent="0.25">
      <c r="A351" s="9"/>
      <c r="B351" s="9"/>
      <c r="C351" s="9"/>
      <c r="D351" s="9"/>
      <c r="E351" s="9"/>
      <c r="F351" s="9"/>
      <c r="G351" s="9"/>
    </row>
    <row r="352" spans="1:7" x14ac:dyDescent="0.25">
      <c r="A352" s="9"/>
      <c r="B352" s="9"/>
      <c r="C352" s="9"/>
      <c r="D352" s="9"/>
      <c r="E352" s="9"/>
      <c r="F352" s="9"/>
      <c r="G352" s="9"/>
    </row>
    <row r="353" spans="1:7" x14ac:dyDescent="0.25">
      <c r="A353" s="9"/>
      <c r="B353" s="9"/>
      <c r="C353" s="9"/>
      <c r="D353" s="9"/>
      <c r="E353" s="9"/>
      <c r="F353" s="9"/>
      <c r="G353" s="9"/>
    </row>
    <row r="354" spans="1:7" x14ac:dyDescent="0.25">
      <c r="A354" s="9"/>
      <c r="B354" s="9"/>
      <c r="C354" s="9"/>
      <c r="D354" s="9"/>
      <c r="E354" s="9"/>
      <c r="F354" s="9"/>
      <c r="G354" s="9"/>
    </row>
    <row r="355" spans="1:7" x14ac:dyDescent="0.25">
      <c r="A355" s="9"/>
      <c r="B355" s="9"/>
      <c r="C355" s="9"/>
      <c r="D355" s="9"/>
      <c r="E355" s="9"/>
      <c r="F355" s="9"/>
      <c r="G355" s="9"/>
    </row>
    <row r="356" spans="1:7" x14ac:dyDescent="0.25">
      <c r="A356" s="9"/>
      <c r="B356" s="9"/>
      <c r="C356" s="9"/>
      <c r="D356" s="9"/>
      <c r="E356" s="9"/>
      <c r="F356" s="9"/>
      <c r="G356" s="9"/>
    </row>
    <row r="357" spans="1:7" x14ac:dyDescent="0.25">
      <c r="A357" s="9"/>
      <c r="B357" s="9"/>
      <c r="C357" s="9"/>
      <c r="D357" s="9"/>
      <c r="E357" s="9"/>
      <c r="F357" s="9"/>
      <c r="G357" s="9"/>
    </row>
    <row r="358" spans="1:7" x14ac:dyDescent="0.25">
      <c r="A358" s="9"/>
      <c r="B358" s="9"/>
      <c r="C358" s="9"/>
      <c r="D358" s="9"/>
      <c r="E358" s="9"/>
      <c r="F358" s="9"/>
      <c r="G358" s="9"/>
    </row>
    <row r="359" spans="1:7" x14ac:dyDescent="0.25">
      <c r="A359" s="9"/>
      <c r="B359" s="9"/>
      <c r="C359" s="9"/>
      <c r="D359" s="9"/>
      <c r="E359" s="9"/>
      <c r="F359" s="9"/>
      <c r="G359" s="9"/>
    </row>
    <row r="360" spans="1:7" x14ac:dyDescent="0.25">
      <c r="A360" s="9"/>
      <c r="B360" s="9"/>
      <c r="C360" s="9"/>
      <c r="D360" s="9"/>
      <c r="E360" s="9"/>
      <c r="F360" s="9"/>
      <c r="G360" s="9"/>
    </row>
    <row r="361" spans="1:7" x14ac:dyDescent="0.25">
      <c r="A361" s="9"/>
      <c r="B361" s="9"/>
      <c r="C361" s="9"/>
      <c r="D361" s="9"/>
      <c r="E361" s="9"/>
      <c r="F361" s="9"/>
      <c r="G361" s="9"/>
    </row>
    <row r="362" spans="1:7" x14ac:dyDescent="0.25">
      <c r="A362" s="9"/>
      <c r="B362" s="9"/>
      <c r="C362" s="9"/>
      <c r="D362" s="9"/>
      <c r="E362" s="9"/>
      <c r="F362" s="9"/>
      <c r="G362" s="9"/>
    </row>
    <row r="363" spans="1:7" x14ac:dyDescent="0.25">
      <c r="A363" s="9"/>
      <c r="B363" s="9"/>
      <c r="C363" s="9"/>
      <c r="D363" s="9"/>
      <c r="E363" s="9"/>
      <c r="F363" s="9"/>
      <c r="G363" s="9"/>
    </row>
    <row r="364" spans="1:7" x14ac:dyDescent="0.25">
      <c r="A364" s="9"/>
      <c r="B364" s="9"/>
      <c r="C364" s="9"/>
      <c r="D364" s="9"/>
      <c r="E364" s="9"/>
      <c r="F364" s="9"/>
      <c r="G364" s="9"/>
    </row>
    <row r="365" spans="1:7" x14ac:dyDescent="0.25">
      <c r="A365" s="9"/>
      <c r="B365" s="9"/>
      <c r="C365" s="9"/>
      <c r="D365" s="9"/>
      <c r="E365" s="9"/>
      <c r="F365" s="9"/>
      <c r="G365" s="9"/>
    </row>
    <row r="366" spans="1:7" x14ac:dyDescent="0.25">
      <c r="A366" s="9"/>
      <c r="B366" s="9"/>
      <c r="C366" s="9"/>
      <c r="D366" s="9"/>
      <c r="E366" s="9"/>
      <c r="F366" s="9"/>
      <c r="G366" s="9"/>
    </row>
    <row r="367" spans="1:7" x14ac:dyDescent="0.25">
      <c r="A367" s="9"/>
      <c r="B367" s="9"/>
      <c r="C367" s="9"/>
      <c r="D367" s="9"/>
      <c r="E367" s="9"/>
      <c r="F367" s="9"/>
      <c r="G367" s="9"/>
    </row>
    <row r="368" spans="1:7" x14ac:dyDescent="0.25">
      <c r="A368" s="9"/>
      <c r="B368" s="9"/>
      <c r="C368" s="9"/>
      <c r="D368" s="9"/>
      <c r="E368" s="9"/>
      <c r="F368" s="9"/>
      <c r="G368" s="9"/>
    </row>
    <row r="369" spans="1:7" x14ac:dyDescent="0.25">
      <c r="A369" s="9"/>
      <c r="B369" s="9"/>
      <c r="C369" s="9"/>
      <c r="D369" s="9"/>
      <c r="E369" s="9"/>
      <c r="F369" s="9"/>
      <c r="G369" s="9"/>
    </row>
    <row r="370" spans="1:7" x14ac:dyDescent="0.25">
      <c r="A370" s="9"/>
      <c r="B370" s="9"/>
      <c r="C370" s="9"/>
      <c r="D370" s="9"/>
      <c r="E370" s="9"/>
      <c r="F370" s="9"/>
      <c r="G370" s="9"/>
    </row>
    <row r="371" spans="1:7" x14ac:dyDescent="0.25">
      <c r="A371" s="9"/>
      <c r="B371" s="9"/>
      <c r="C371" s="9"/>
      <c r="D371" s="9"/>
      <c r="E371" s="9"/>
      <c r="F371" s="9"/>
      <c r="G371" s="9"/>
    </row>
    <row r="372" spans="1:7" x14ac:dyDescent="0.25">
      <c r="A372" s="9"/>
      <c r="B372" s="9"/>
      <c r="C372" s="9"/>
      <c r="D372" s="9"/>
      <c r="E372" s="9"/>
      <c r="F372" s="9"/>
      <c r="G372" s="9"/>
    </row>
    <row r="373" spans="1:7" x14ac:dyDescent="0.25">
      <c r="A373" s="9"/>
      <c r="B373" s="9"/>
      <c r="C373" s="9"/>
      <c r="D373" s="9"/>
      <c r="E373" s="9"/>
      <c r="F373" s="9"/>
      <c r="G373" s="9"/>
    </row>
    <row r="374" spans="1:7" x14ac:dyDescent="0.25">
      <c r="A374" s="9"/>
      <c r="B374" s="9"/>
      <c r="C374" s="9"/>
      <c r="D374" s="9"/>
      <c r="E374" s="9"/>
      <c r="F374" s="9"/>
      <c r="G374" s="9"/>
    </row>
    <row r="375" spans="1:7" x14ac:dyDescent="0.25">
      <c r="A375" s="9"/>
      <c r="B375" s="9"/>
      <c r="C375" s="9"/>
      <c r="D375" s="9"/>
      <c r="E375" s="9"/>
      <c r="F375" s="9"/>
      <c r="G375" s="9"/>
    </row>
    <row r="376" spans="1:7" x14ac:dyDescent="0.25">
      <c r="A376" s="9"/>
      <c r="B376" s="9"/>
      <c r="C376" s="9"/>
      <c r="D376" s="9"/>
      <c r="E376" s="9"/>
      <c r="F376" s="9"/>
      <c r="G376" s="9"/>
    </row>
    <row r="377" spans="1:7" x14ac:dyDescent="0.25">
      <c r="A377" s="9"/>
      <c r="B377" s="9"/>
      <c r="C377" s="9"/>
      <c r="D377" s="9"/>
      <c r="E377" s="9"/>
      <c r="F377" s="9"/>
      <c r="G377" s="9"/>
    </row>
    <row r="378" spans="1:7" x14ac:dyDescent="0.25">
      <c r="A378" s="9"/>
      <c r="B378" s="9"/>
      <c r="C378" s="9"/>
      <c r="D378" s="9"/>
      <c r="E378" s="9"/>
      <c r="F378" s="9"/>
      <c r="G378" s="9"/>
    </row>
    <row r="379" spans="1:7" x14ac:dyDescent="0.25">
      <c r="A379" s="9"/>
      <c r="B379" s="9"/>
      <c r="C379" s="9"/>
      <c r="D379" s="9"/>
      <c r="E379" s="9"/>
      <c r="F379" s="9"/>
      <c r="G379" s="9"/>
    </row>
    <row r="380" spans="1:7" x14ac:dyDescent="0.25">
      <c r="A380" s="9"/>
      <c r="B380" s="9"/>
      <c r="C380" s="9"/>
      <c r="D380" s="9"/>
      <c r="E380" s="9"/>
      <c r="F380" s="9"/>
      <c r="G380" s="9"/>
    </row>
    <row r="381" spans="1:7" x14ac:dyDescent="0.25">
      <c r="A381" s="9"/>
      <c r="B381" s="9"/>
      <c r="C381" s="9"/>
      <c r="D381" s="9"/>
      <c r="E381" s="9"/>
      <c r="F381" s="9"/>
      <c r="G381" s="9"/>
    </row>
    <row r="382" spans="1:7" x14ac:dyDescent="0.25">
      <c r="A382" s="9"/>
      <c r="B382" s="9"/>
      <c r="C382" s="9"/>
      <c r="D382" s="9"/>
      <c r="E382" s="9"/>
      <c r="F382" s="9"/>
      <c r="G382" s="9"/>
    </row>
    <row r="383" spans="1:7" x14ac:dyDescent="0.25">
      <c r="A383" s="9"/>
      <c r="B383" s="9"/>
      <c r="C383" s="9"/>
      <c r="D383" s="9"/>
      <c r="E383" s="9"/>
      <c r="F383" s="9"/>
      <c r="G383" s="9"/>
    </row>
    <row r="384" spans="1:7" x14ac:dyDescent="0.25">
      <c r="A384" s="9"/>
      <c r="B384" s="9"/>
      <c r="C384" s="9"/>
      <c r="D384" s="9"/>
      <c r="E384" s="9"/>
      <c r="F384" s="9"/>
      <c r="G384" s="9"/>
    </row>
    <row r="385" spans="1:7" x14ac:dyDescent="0.25">
      <c r="A385" s="9"/>
      <c r="B385" s="9"/>
      <c r="C385" s="9"/>
      <c r="D385" s="9"/>
      <c r="E385" s="9"/>
      <c r="F385" s="9"/>
      <c r="G385" s="9"/>
    </row>
    <row r="386" spans="1:7" x14ac:dyDescent="0.25">
      <c r="A386" s="9"/>
      <c r="B386" s="9"/>
      <c r="C386" s="9"/>
      <c r="D386" s="9"/>
      <c r="E386" s="9"/>
      <c r="F386" s="9"/>
      <c r="G386" s="9"/>
    </row>
    <row r="387" spans="1:7" x14ac:dyDescent="0.25">
      <c r="A387" s="9"/>
      <c r="B387" s="9"/>
      <c r="C387" s="9"/>
      <c r="D387" s="9"/>
      <c r="E387" s="9"/>
      <c r="F387" s="9"/>
      <c r="G387" s="9"/>
    </row>
    <row r="388" spans="1:7" x14ac:dyDescent="0.25">
      <c r="A388" s="9"/>
      <c r="B388" s="9"/>
      <c r="C388" s="9"/>
      <c r="D388" s="9"/>
      <c r="E388" s="9"/>
      <c r="F388" s="9"/>
      <c r="G388" s="9"/>
    </row>
    <row r="389" spans="1:7" x14ac:dyDescent="0.25">
      <c r="A389" s="9"/>
      <c r="B389" s="9"/>
      <c r="C389" s="9"/>
      <c r="D389" s="9"/>
      <c r="E389" s="9"/>
      <c r="F389" s="9"/>
      <c r="G389" s="9"/>
    </row>
    <row r="390" spans="1:7" x14ac:dyDescent="0.25">
      <c r="A390" s="9"/>
      <c r="B390" s="9"/>
      <c r="C390" s="9"/>
      <c r="D390" s="9"/>
      <c r="E390" s="9"/>
      <c r="F390" s="9"/>
      <c r="G390" s="9"/>
    </row>
    <row r="391" spans="1:7" x14ac:dyDescent="0.25">
      <c r="A391" s="9"/>
      <c r="B391" s="9"/>
      <c r="C391" s="9"/>
      <c r="D391" s="9"/>
      <c r="E391" s="9"/>
      <c r="F391" s="9"/>
      <c r="G391" s="9"/>
    </row>
    <row r="392" spans="1:7" x14ac:dyDescent="0.25">
      <c r="A392" s="9"/>
      <c r="B392" s="9"/>
      <c r="C392" s="9"/>
      <c r="D392" s="9"/>
      <c r="E392" s="9"/>
      <c r="F392" s="9"/>
      <c r="G392" s="9"/>
    </row>
    <row r="393" spans="1:7" x14ac:dyDescent="0.25">
      <c r="A393" s="9"/>
      <c r="B393" s="9"/>
      <c r="C393" s="9"/>
      <c r="D393" s="9"/>
      <c r="E393" s="9"/>
      <c r="F393" s="9"/>
      <c r="G393" s="9"/>
    </row>
    <row r="394" spans="1:7" x14ac:dyDescent="0.25">
      <c r="A394" s="9"/>
      <c r="B394" s="9"/>
      <c r="C394" s="9"/>
      <c r="D394" s="9"/>
      <c r="E394" s="9"/>
      <c r="F394" s="9"/>
      <c r="G394" s="9"/>
    </row>
    <row r="395" spans="1:7" x14ac:dyDescent="0.25">
      <c r="A395" s="9"/>
      <c r="B395" s="9"/>
      <c r="C395" s="9"/>
      <c r="D395" s="9"/>
      <c r="E395" s="9"/>
      <c r="F395" s="9"/>
      <c r="G395" s="9"/>
    </row>
    <row r="396" spans="1:7" x14ac:dyDescent="0.25">
      <c r="A396" s="9"/>
      <c r="B396" s="9"/>
      <c r="C396" s="9"/>
      <c r="D396" s="9"/>
      <c r="E396" s="9"/>
      <c r="F396" s="9"/>
      <c r="G396" s="9"/>
    </row>
    <row r="397" spans="1:7" x14ac:dyDescent="0.25">
      <c r="A397" s="9"/>
      <c r="B397" s="9"/>
      <c r="C397" s="9"/>
      <c r="D397" s="9"/>
      <c r="E397" s="9"/>
      <c r="F397" s="9"/>
      <c r="G397" s="9"/>
    </row>
    <row r="398" spans="1:7" x14ac:dyDescent="0.25">
      <c r="A398" s="9"/>
      <c r="B398" s="9"/>
      <c r="C398" s="9"/>
      <c r="D398" s="9"/>
      <c r="E398" s="9"/>
      <c r="F398" s="9"/>
      <c r="G398" s="9"/>
    </row>
    <row r="399" spans="1:7" x14ac:dyDescent="0.25">
      <c r="A399" s="9"/>
      <c r="B399" s="9"/>
      <c r="C399" s="9"/>
      <c r="D399" s="9"/>
      <c r="E399" s="9"/>
      <c r="F399" s="9"/>
      <c r="G399" s="9"/>
    </row>
    <row r="400" spans="1:7" x14ac:dyDescent="0.25">
      <c r="A400" s="9"/>
      <c r="B400" s="9"/>
      <c r="C400" s="9"/>
      <c r="D400" s="9"/>
      <c r="E400" s="9"/>
      <c r="F400" s="9"/>
      <c r="G400" s="9"/>
    </row>
    <row r="401" spans="1:7" x14ac:dyDescent="0.25">
      <c r="A401" s="9"/>
      <c r="B401" s="9"/>
      <c r="C401" s="9"/>
      <c r="D401" s="9"/>
      <c r="E401" s="9"/>
      <c r="F401" s="9"/>
      <c r="G401" s="9"/>
    </row>
    <row r="402" spans="1:7" x14ac:dyDescent="0.25">
      <c r="A402" s="9"/>
      <c r="B402" s="9"/>
      <c r="C402" s="9"/>
      <c r="D402" s="9"/>
      <c r="E402" s="9"/>
      <c r="F402" s="9"/>
      <c r="G402" s="9"/>
    </row>
    <row r="403" spans="1:7" x14ac:dyDescent="0.25">
      <c r="A403" s="9"/>
      <c r="B403" s="9"/>
      <c r="C403" s="9"/>
      <c r="D403" s="9"/>
      <c r="E403" s="9"/>
      <c r="F403" s="9"/>
      <c r="G403" s="9"/>
    </row>
    <row r="404" spans="1:7" x14ac:dyDescent="0.25">
      <c r="A404" s="9"/>
      <c r="B404" s="9"/>
      <c r="C404" s="9"/>
      <c r="D404" s="9"/>
      <c r="E404" s="9"/>
      <c r="F404" s="9"/>
      <c r="G404" s="9"/>
    </row>
    <row r="405" spans="1:7" x14ac:dyDescent="0.25">
      <c r="A405" s="9"/>
      <c r="B405" s="9"/>
      <c r="C405" s="9"/>
      <c r="D405" s="9"/>
      <c r="E405" s="9"/>
      <c r="F405" s="9"/>
      <c r="G405" s="9"/>
    </row>
    <row r="406" spans="1:7" x14ac:dyDescent="0.25">
      <c r="A406" s="9"/>
      <c r="B406" s="9"/>
      <c r="C406" s="9"/>
      <c r="D406" s="9"/>
      <c r="E406" s="9"/>
      <c r="F406" s="9"/>
      <c r="G406" s="9"/>
    </row>
    <row r="407" spans="1:7" x14ac:dyDescent="0.25">
      <c r="A407" s="9"/>
      <c r="B407" s="9"/>
      <c r="C407" s="9"/>
      <c r="D407" s="9"/>
      <c r="E407" s="9"/>
      <c r="F407" s="9"/>
      <c r="G407" s="9"/>
    </row>
    <row r="408" spans="1:7" x14ac:dyDescent="0.25">
      <c r="A408" s="9"/>
      <c r="B408" s="9"/>
      <c r="C408" s="9"/>
      <c r="D408" s="9"/>
      <c r="E408" s="9"/>
      <c r="F408" s="9"/>
      <c r="G408" s="9"/>
    </row>
    <row r="409" spans="1:7" x14ac:dyDescent="0.25">
      <c r="A409" s="9"/>
      <c r="B409" s="9"/>
      <c r="C409" s="9"/>
      <c r="D409" s="9"/>
      <c r="E409" s="9"/>
      <c r="F409" s="9"/>
      <c r="G409" s="9"/>
    </row>
    <row r="410" spans="1:7" x14ac:dyDescent="0.25">
      <c r="A410" s="9"/>
      <c r="B410" s="9"/>
      <c r="C410" s="9"/>
      <c r="D410" s="9"/>
      <c r="E410" s="9"/>
      <c r="F410" s="9"/>
      <c r="G410" s="9"/>
    </row>
    <row r="411" spans="1:7" x14ac:dyDescent="0.25">
      <c r="A411" s="9"/>
      <c r="B411" s="9"/>
      <c r="C411" s="9"/>
      <c r="D411" s="9"/>
      <c r="E411" s="9"/>
      <c r="F411" s="9"/>
      <c r="G411" s="9"/>
    </row>
    <row r="412" spans="1:7" x14ac:dyDescent="0.25">
      <c r="A412" s="9"/>
      <c r="B412" s="9"/>
      <c r="C412" s="9"/>
      <c r="D412" s="9"/>
      <c r="E412" s="9"/>
      <c r="F412" s="9"/>
      <c r="G412" s="9"/>
    </row>
    <row r="413" spans="1:7" x14ac:dyDescent="0.25">
      <c r="A413" s="9"/>
      <c r="B413" s="9"/>
      <c r="C413" s="9"/>
      <c r="D413" s="9"/>
      <c r="E413" s="9"/>
      <c r="F413" s="9"/>
      <c r="G413" s="9"/>
    </row>
    <row r="414" spans="1:7" x14ac:dyDescent="0.25">
      <c r="A414" s="9"/>
      <c r="B414" s="9"/>
      <c r="C414" s="9"/>
      <c r="D414" s="9"/>
      <c r="E414" s="9"/>
      <c r="F414" s="9"/>
      <c r="G414" s="9"/>
    </row>
    <row r="415" spans="1:7" x14ac:dyDescent="0.25">
      <c r="A415" s="9"/>
      <c r="B415" s="9"/>
      <c r="C415" s="9"/>
      <c r="D415" s="9"/>
      <c r="E415" s="9"/>
      <c r="F415" s="9"/>
      <c r="G415" s="9"/>
    </row>
    <row r="416" spans="1:7" x14ac:dyDescent="0.25">
      <c r="A416" s="9"/>
      <c r="B416" s="9"/>
      <c r="C416" s="9"/>
      <c r="D416" s="9"/>
      <c r="E416" s="9"/>
      <c r="F416" s="9"/>
      <c r="G416" s="9"/>
    </row>
    <row r="417" spans="1:7" x14ac:dyDescent="0.25">
      <c r="A417" s="9"/>
      <c r="B417" s="9"/>
      <c r="C417" s="9"/>
      <c r="D417" s="9"/>
      <c r="E417" s="9"/>
      <c r="F417" s="9"/>
      <c r="G417" s="9"/>
    </row>
    <row r="418" spans="1:7" x14ac:dyDescent="0.25">
      <c r="A418" s="9"/>
      <c r="B418" s="9"/>
      <c r="C418" s="9"/>
      <c r="D418" s="9"/>
      <c r="E418" s="9"/>
      <c r="F418" s="9"/>
      <c r="G418" s="9"/>
    </row>
    <row r="419" spans="1:7" x14ac:dyDescent="0.25">
      <c r="A419" s="9"/>
      <c r="B419" s="9"/>
      <c r="C419" s="9"/>
      <c r="D419" s="9"/>
      <c r="E419" s="9"/>
      <c r="F419" s="9"/>
      <c r="G419" s="9"/>
    </row>
    <row r="420" spans="1:7" x14ac:dyDescent="0.25">
      <c r="A420" s="9"/>
      <c r="B420" s="9"/>
      <c r="C420" s="9"/>
      <c r="D420" s="9"/>
      <c r="E420" s="9"/>
      <c r="F420" s="9"/>
      <c r="G420" s="9"/>
    </row>
    <row r="421" spans="1:7" x14ac:dyDescent="0.25">
      <c r="A421" s="9"/>
      <c r="B421" s="9"/>
      <c r="C421" s="9"/>
      <c r="D421" s="9"/>
      <c r="E421" s="9"/>
      <c r="F421" s="9"/>
      <c r="G421" s="9"/>
    </row>
    <row r="422" spans="1:7" x14ac:dyDescent="0.25">
      <c r="A422" s="9"/>
      <c r="B422" s="9"/>
      <c r="C422" s="9"/>
      <c r="D422" s="9"/>
      <c r="E422" s="9"/>
      <c r="F422" s="9"/>
      <c r="G422" s="9"/>
    </row>
    <row r="423" spans="1:7" x14ac:dyDescent="0.25">
      <c r="A423" s="9"/>
      <c r="B423" s="9"/>
      <c r="C423" s="9"/>
      <c r="D423" s="9"/>
      <c r="E423" s="9"/>
      <c r="F423" s="9"/>
      <c r="G423" s="9"/>
    </row>
    <row r="424" spans="1:7" x14ac:dyDescent="0.25">
      <c r="A424" s="9"/>
      <c r="B424" s="9"/>
      <c r="C424" s="9"/>
      <c r="D424" s="9"/>
      <c r="E424" s="9"/>
      <c r="F424" s="9"/>
      <c r="G424" s="9"/>
    </row>
    <row r="425" spans="1:7" x14ac:dyDescent="0.25">
      <c r="A425" s="9"/>
      <c r="B425" s="9"/>
      <c r="C425" s="9"/>
      <c r="D425" s="9"/>
      <c r="E425" s="9"/>
      <c r="F425" s="9"/>
      <c r="G425" s="9"/>
    </row>
    <row r="426" spans="1:7" x14ac:dyDescent="0.25">
      <c r="A426" s="9"/>
      <c r="B426" s="9"/>
      <c r="C426" s="9"/>
      <c r="D426" s="9"/>
      <c r="E426" s="9"/>
      <c r="F426" s="9"/>
      <c r="G426" s="9"/>
    </row>
    <row r="427" spans="1:7" x14ac:dyDescent="0.25">
      <c r="A427" s="9"/>
      <c r="B427" s="9"/>
      <c r="C427" s="9"/>
      <c r="D427" s="9"/>
      <c r="E427" s="9"/>
      <c r="F427" s="9"/>
      <c r="G427" s="9"/>
    </row>
    <row r="428" spans="1:7" x14ac:dyDescent="0.25">
      <c r="A428" s="9"/>
      <c r="B428" s="9"/>
      <c r="C428" s="9"/>
      <c r="D428" s="9"/>
      <c r="E428" s="9"/>
      <c r="F428" s="9"/>
      <c r="G428" s="9"/>
    </row>
    <row r="429" spans="1:7" x14ac:dyDescent="0.25">
      <c r="A429" s="9"/>
      <c r="B429" s="9"/>
      <c r="C429" s="9"/>
      <c r="D429" s="9"/>
      <c r="E429" s="9"/>
      <c r="F429" s="9"/>
      <c r="G429" s="9"/>
    </row>
    <row r="430" spans="1:7" x14ac:dyDescent="0.25">
      <c r="A430" s="9"/>
      <c r="B430" s="9"/>
      <c r="C430" s="9"/>
      <c r="D430" s="9"/>
      <c r="E430" s="9"/>
      <c r="F430" s="9"/>
      <c r="G430" s="9"/>
    </row>
    <row r="431" spans="1:7" x14ac:dyDescent="0.25">
      <c r="A431" s="9"/>
      <c r="B431" s="9"/>
      <c r="C431" s="9"/>
      <c r="D431" s="9"/>
      <c r="E431" s="9"/>
      <c r="F431" s="9"/>
      <c r="G431" s="9"/>
    </row>
    <row r="432" spans="1:7" x14ac:dyDescent="0.25">
      <c r="A432" s="9"/>
      <c r="B432" s="9"/>
      <c r="C432" s="9"/>
      <c r="D432" s="9"/>
      <c r="E432" s="9"/>
      <c r="F432" s="9"/>
      <c r="G432" s="9"/>
    </row>
    <row r="433" spans="1:7" x14ac:dyDescent="0.25">
      <c r="A433" s="9"/>
      <c r="B433" s="9"/>
      <c r="C433" s="9"/>
      <c r="D433" s="9"/>
      <c r="E433" s="9"/>
      <c r="F433" s="9"/>
      <c r="G433" s="9"/>
    </row>
    <row r="434" spans="1:7" x14ac:dyDescent="0.25">
      <c r="A434" s="9"/>
      <c r="B434" s="9"/>
      <c r="C434" s="9"/>
      <c r="D434" s="9"/>
      <c r="E434" s="9"/>
      <c r="F434" s="9"/>
      <c r="G434" s="9"/>
    </row>
    <row r="435" spans="1:7" x14ac:dyDescent="0.25">
      <c r="A435" s="9"/>
      <c r="B435" s="9"/>
      <c r="C435" s="9"/>
      <c r="D435" s="9"/>
      <c r="E435" s="9"/>
      <c r="F435" s="9"/>
      <c r="G435" s="9"/>
    </row>
    <row r="436" spans="1:7" x14ac:dyDescent="0.25">
      <c r="A436" s="9"/>
      <c r="B436" s="9"/>
      <c r="C436" s="9"/>
      <c r="D436" s="9"/>
      <c r="E436" s="9"/>
      <c r="F436" s="9"/>
      <c r="G436" s="9"/>
    </row>
    <row r="437" spans="1:7" x14ac:dyDescent="0.25">
      <c r="A437" s="9"/>
      <c r="B437" s="9"/>
      <c r="C437" s="9"/>
      <c r="D437" s="9"/>
      <c r="E437" s="9"/>
      <c r="F437" s="9"/>
      <c r="G437" s="9"/>
    </row>
    <row r="438" spans="1:7" x14ac:dyDescent="0.25">
      <c r="A438" s="9"/>
      <c r="B438" s="9"/>
      <c r="C438" s="9"/>
      <c r="D438" s="9"/>
      <c r="E438" s="9"/>
      <c r="F438" s="9"/>
      <c r="G438" s="9"/>
    </row>
    <row r="439" spans="1:7" x14ac:dyDescent="0.25">
      <c r="A439" s="9"/>
      <c r="B439" s="9"/>
      <c r="C439" s="9"/>
      <c r="D439" s="9"/>
      <c r="E439" s="9"/>
      <c r="F439" s="9"/>
      <c r="G439" s="9"/>
    </row>
    <row r="440" spans="1:7" x14ac:dyDescent="0.25">
      <c r="A440" s="9"/>
      <c r="B440" s="9"/>
      <c r="C440" s="9"/>
      <c r="D440" s="9"/>
      <c r="E440" s="9"/>
      <c r="F440" s="9"/>
      <c r="G440" s="9"/>
    </row>
    <row r="441" spans="1:7" x14ac:dyDescent="0.25">
      <c r="A441" s="9"/>
      <c r="B441" s="9"/>
      <c r="C441" s="9"/>
      <c r="D441" s="9"/>
      <c r="E441" s="9"/>
      <c r="F441" s="9"/>
      <c r="G441" s="9"/>
    </row>
    <row r="442" spans="1:7" x14ac:dyDescent="0.25">
      <c r="A442" s="9"/>
      <c r="B442" s="9"/>
      <c r="C442" s="9"/>
      <c r="D442" s="9"/>
      <c r="E442" s="9"/>
      <c r="F442" s="9"/>
      <c r="G442" s="9"/>
    </row>
    <row r="443" spans="1:7" x14ac:dyDescent="0.25">
      <c r="A443" s="9"/>
      <c r="B443" s="9"/>
      <c r="C443" s="9"/>
      <c r="D443" s="9"/>
      <c r="E443" s="9"/>
      <c r="F443" s="9"/>
      <c r="G443" s="9"/>
    </row>
    <row r="444" spans="1:7" x14ac:dyDescent="0.25">
      <c r="A444" s="9"/>
      <c r="B444" s="9"/>
      <c r="C444" s="9"/>
      <c r="D444" s="9"/>
      <c r="E444" s="9"/>
      <c r="F444" s="9"/>
      <c r="G444" s="9"/>
    </row>
    <row r="445" spans="1:7" x14ac:dyDescent="0.25">
      <c r="A445" s="9"/>
      <c r="B445" s="9"/>
      <c r="C445" s="9"/>
      <c r="D445" s="9"/>
      <c r="E445" s="9"/>
      <c r="F445" s="9"/>
      <c r="G445" s="9"/>
    </row>
    <row r="446" spans="1:7" x14ac:dyDescent="0.25">
      <c r="A446" s="9"/>
      <c r="B446" s="9"/>
      <c r="C446" s="9"/>
      <c r="D446" s="9"/>
      <c r="E446" s="9"/>
      <c r="F446" s="9"/>
      <c r="G446" s="9"/>
    </row>
    <row r="447" spans="1:7" x14ac:dyDescent="0.25">
      <c r="A447" s="9"/>
      <c r="B447" s="9"/>
      <c r="C447" s="9"/>
      <c r="D447" s="9"/>
      <c r="E447" s="9"/>
      <c r="F447" s="9"/>
      <c r="G447" s="9"/>
    </row>
    <row r="448" spans="1:7" x14ac:dyDescent="0.25">
      <c r="A448" s="9"/>
      <c r="B448" s="9"/>
      <c r="C448" s="9"/>
      <c r="D448" s="9"/>
      <c r="E448" s="9"/>
      <c r="F448" s="9"/>
      <c r="G448" s="9"/>
    </row>
    <row r="449" spans="1:7" x14ac:dyDescent="0.25">
      <c r="A449" s="9"/>
      <c r="B449" s="9"/>
      <c r="C449" s="9"/>
      <c r="D449" s="9"/>
      <c r="E449" s="9"/>
      <c r="F449" s="9"/>
      <c r="G449" s="9"/>
    </row>
    <row r="450" spans="1:7" x14ac:dyDescent="0.25">
      <c r="A450" s="9"/>
      <c r="B450" s="9"/>
      <c r="C450" s="9"/>
      <c r="D450" s="9"/>
      <c r="E450" s="9"/>
      <c r="F450" s="9"/>
      <c r="G450" s="9"/>
    </row>
    <row r="451" spans="1:7" x14ac:dyDescent="0.25">
      <c r="A451" s="9"/>
      <c r="B451" s="9"/>
      <c r="C451" s="9"/>
      <c r="D451" s="9"/>
      <c r="E451" s="9"/>
      <c r="F451" s="9"/>
      <c r="G451" s="9"/>
    </row>
    <row r="452" spans="1:7" x14ac:dyDescent="0.25">
      <c r="A452" s="9"/>
      <c r="B452" s="9"/>
      <c r="C452" s="9"/>
      <c r="D452" s="9"/>
      <c r="E452" s="9"/>
      <c r="F452" s="9"/>
      <c r="G452" s="9"/>
    </row>
    <row r="453" spans="1:7" x14ac:dyDescent="0.25">
      <c r="A453" s="9"/>
      <c r="B453" s="9"/>
      <c r="C453" s="9"/>
      <c r="D453" s="9"/>
      <c r="E453" s="9"/>
      <c r="F453" s="9"/>
      <c r="G453" s="9"/>
    </row>
    <row r="454" spans="1:7" x14ac:dyDescent="0.25">
      <c r="A454" s="9"/>
      <c r="B454" s="9"/>
      <c r="C454" s="9"/>
      <c r="D454" s="9"/>
      <c r="E454" s="9"/>
      <c r="F454" s="9"/>
      <c r="G454" s="9"/>
    </row>
    <row r="455" spans="1:7" x14ac:dyDescent="0.25">
      <c r="A455" s="9"/>
      <c r="B455" s="9"/>
      <c r="C455" s="9"/>
      <c r="D455" s="9"/>
      <c r="E455" s="9"/>
      <c r="F455" s="9"/>
      <c r="G455" s="9"/>
    </row>
    <row r="456" spans="1:7" x14ac:dyDescent="0.25">
      <c r="A456" s="9"/>
      <c r="B456" s="9"/>
      <c r="C456" s="9"/>
      <c r="D456" s="9"/>
      <c r="E456" s="9"/>
      <c r="F456" s="9"/>
      <c r="G456" s="9"/>
    </row>
    <row r="457" spans="1:7" x14ac:dyDescent="0.25">
      <c r="A457" s="9"/>
      <c r="B457" s="9"/>
      <c r="C457" s="9"/>
      <c r="D457" s="9"/>
      <c r="E457" s="9"/>
      <c r="F457" s="9"/>
      <c r="G457" s="9"/>
    </row>
    <row r="458" spans="1:7" x14ac:dyDescent="0.25">
      <c r="A458" s="9"/>
      <c r="B458" s="9"/>
      <c r="C458" s="9"/>
      <c r="D458" s="9"/>
      <c r="E458" s="9"/>
      <c r="F458" s="9"/>
      <c r="G458" s="9"/>
    </row>
    <row r="459" spans="1:7" x14ac:dyDescent="0.25">
      <c r="A459" s="9"/>
      <c r="B459" s="9"/>
      <c r="C459" s="9"/>
      <c r="D459" s="9"/>
      <c r="E459" s="9"/>
      <c r="F459" s="9"/>
      <c r="G459" s="9"/>
    </row>
    <row r="460" spans="1:7" x14ac:dyDescent="0.25">
      <c r="A460" s="9"/>
      <c r="B460" s="9"/>
      <c r="C460" s="9"/>
      <c r="D460" s="9"/>
      <c r="E460" s="9"/>
      <c r="F460" s="9"/>
      <c r="G460" s="9"/>
    </row>
    <row r="461" spans="1:7" x14ac:dyDescent="0.25">
      <c r="A461" s="9"/>
      <c r="B461" s="9"/>
      <c r="C461" s="9"/>
      <c r="D461" s="9"/>
      <c r="E461" s="9"/>
      <c r="F461" s="9"/>
      <c r="G461" s="9"/>
    </row>
    <row r="462" spans="1:7" x14ac:dyDescent="0.25">
      <c r="A462" s="9"/>
      <c r="B462" s="9"/>
      <c r="C462" s="9"/>
      <c r="D462" s="9"/>
      <c r="E462" s="9"/>
      <c r="F462" s="9"/>
      <c r="G462" s="9"/>
    </row>
    <row r="463" spans="1:7" x14ac:dyDescent="0.25">
      <c r="A463" s="9"/>
      <c r="B463" s="9"/>
      <c r="C463" s="9"/>
      <c r="D463" s="9"/>
      <c r="E463" s="9"/>
      <c r="F463" s="9"/>
      <c r="G463" s="9"/>
    </row>
    <row r="464" spans="1:7" x14ac:dyDescent="0.25">
      <c r="A464" s="9"/>
      <c r="B464" s="9"/>
      <c r="C464" s="9"/>
      <c r="D464" s="9"/>
      <c r="E464" s="9"/>
      <c r="F464" s="9"/>
      <c r="G464" s="9"/>
    </row>
    <row r="465" spans="1:7" x14ac:dyDescent="0.25">
      <c r="A465" s="9"/>
      <c r="B465" s="9"/>
      <c r="C465" s="9"/>
      <c r="D465" s="9"/>
      <c r="E465" s="9"/>
      <c r="F465" s="9"/>
      <c r="G465" s="9"/>
    </row>
    <row r="466" spans="1:7" x14ac:dyDescent="0.25">
      <c r="A466" s="9"/>
      <c r="B466" s="9"/>
      <c r="C466" s="9"/>
      <c r="D466" s="9"/>
      <c r="E466" s="9"/>
      <c r="F466" s="9"/>
      <c r="G466" s="9"/>
    </row>
    <row r="467" spans="1:7" x14ac:dyDescent="0.25">
      <c r="A467" s="9"/>
      <c r="B467" s="9"/>
      <c r="C467" s="9"/>
      <c r="D467" s="9"/>
      <c r="E467" s="9"/>
      <c r="F467" s="9"/>
      <c r="G467" s="9"/>
    </row>
    <row r="468" spans="1:7" x14ac:dyDescent="0.25">
      <c r="A468" s="9"/>
      <c r="B468" s="9"/>
      <c r="C468" s="9"/>
      <c r="D468" s="9"/>
      <c r="E468" s="9"/>
      <c r="F468" s="9"/>
      <c r="G468" s="9"/>
    </row>
    <row r="469" spans="1:7" x14ac:dyDescent="0.25">
      <c r="A469" s="9"/>
      <c r="B469" s="9"/>
      <c r="C469" s="9"/>
      <c r="D469" s="9"/>
      <c r="E469" s="9"/>
      <c r="F469" s="9"/>
      <c r="G469" s="9"/>
    </row>
    <row r="470" spans="1:7" x14ac:dyDescent="0.25">
      <c r="A470" s="9"/>
      <c r="B470" s="9"/>
      <c r="C470" s="9"/>
      <c r="D470" s="9"/>
      <c r="E470" s="9"/>
      <c r="F470" s="9"/>
      <c r="G470" s="9"/>
    </row>
    <row r="471" spans="1:7" x14ac:dyDescent="0.25">
      <c r="A471" s="9"/>
      <c r="B471" s="9"/>
      <c r="C471" s="9"/>
      <c r="D471" s="9"/>
      <c r="E471" s="9"/>
      <c r="F471" s="9"/>
      <c r="G471" s="9"/>
    </row>
    <row r="472" spans="1:7" x14ac:dyDescent="0.25">
      <c r="A472" s="9"/>
      <c r="B472" s="9"/>
      <c r="C472" s="9"/>
      <c r="D472" s="9"/>
      <c r="E472" s="9"/>
      <c r="F472" s="9"/>
      <c r="G472" s="9"/>
    </row>
    <row r="473" spans="1:7" x14ac:dyDescent="0.25">
      <c r="A473" s="9"/>
      <c r="B473" s="9"/>
      <c r="C473" s="9"/>
      <c r="D473" s="9"/>
      <c r="E473" s="9"/>
      <c r="F473" s="9"/>
      <c r="G473" s="9"/>
    </row>
    <row r="474" spans="1:7" x14ac:dyDescent="0.25">
      <c r="A474" s="9"/>
      <c r="B474" s="9"/>
      <c r="C474" s="9"/>
      <c r="D474" s="9"/>
      <c r="E474" s="9"/>
      <c r="F474" s="9"/>
      <c r="G474" s="9"/>
    </row>
    <row r="475" spans="1:7" x14ac:dyDescent="0.25">
      <c r="A475" s="9"/>
      <c r="B475" s="9"/>
      <c r="C475" s="9"/>
      <c r="D475" s="9"/>
      <c r="E475" s="9"/>
      <c r="F475" s="9"/>
      <c r="G475" s="9"/>
    </row>
    <row r="476" spans="1:7" x14ac:dyDescent="0.25">
      <c r="A476" s="9"/>
      <c r="B476" s="9"/>
      <c r="C476" s="9"/>
      <c r="D476" s="9"/>
      <c r="E476" s="9"/>
      <c r="F476" s="9"/>
      <c r="G476" s="9"/>
    </row>
    <row r="477" spans="1:7" x14ac:dyDescent="0.25">
      <c r="A477" s="9"/>
      <c r="B477" s="9"/>
      <c r="C477" s="9"/>
      <c r="D477" s="9"/>
      <c r="E477" s="9"/>
      <c r="F477" s="9"/>
      <c r="G477" s="9"/>
    </row>
    <row r="478" spans="1:7" x14ac:dyDescent="0.25">
      <c r="A478" s="9"/>
      <c r="B478" s="9"/>
      <c r="C478" s="9"/>
      <c r="D478" s="9"/>
      <c r="E478" s="9"/>
      <c r="F478" s="9"/>
      <c r="G478" s="9"/>
    </row>
    <row r="479" spans="1:7" x14ac:dyDescent="0.25">
      <c r="A479" s="9"/>
      <c r="B479" s="9"/>
      <c r="C479" s="9"/>
      <c r="D479" s="9"/>
      <c r="E479" s="9"/>
      <c r="F479" s="9"/>
      <c r="G479" s="9"/>
    </row>
    <row r="480" spans="1:7" x14ac:dyDescent="0.25">
      <c r="A480" s="9"/>
      <c r="B480" s="9"/>
      <c r="C480" s="9"/>
      <c r="D480" s="9"/>
      <c r="E480" s="9"/>
      <c r="F480" s="9"/>
      <c r="G480" s="9"/>
    </row>
    <row r="481" spans="1:7" x14ac:dyDescent="0.25">
      <c r="A481" s="9"/>
      <c r="B481" s="9"/>
      <c r="C481" s="9"/>
      <c r="D481" s="9"/>
      <c r="E481" s="9"/>
      <c r="F481" s="9"/>
      <c r="G481" s="9"/>
    </row>
    <row r="482" spans="1:7" x14ac:dyDescent="0.25">
      <c r="A482" s="9"/>
      <c r="B482" s="9"/>
      <c r="C482" s="9"/>
      <c r="D482" s="9"/>
      <c r="E482" s="9"/>
      <c r="F482" s="9"/>
      <c r="G482" s="9"/>
    </row>
    <row r="483" spans="1:7" x14ac:dyDescent="0.25">
      <c r="A483" s="9"/>
      <c r="B483" s="9"/>
      <c r="C483" s="9"/>
      <c r="D483" s="9"/>
      <c r="E483" s="9"/>
      <c r="F483" s="9"/>
      <c r="G483" s="9"/>
    </row>
    <row r="484" spans="1:7" x14ac:dyDescent="0.25">
      <c r="A484" s="9"/>
      <c r="B484" s="9"/>
      <c r="C484" s="9"/>
      <c r="D484" s="9"/>
      <c r="E484" s="9"/>
      <c r="F484" s="9"/>
      <c r="G484" s="9"/>
    </row>
    <row r="485" spans="1:7" x14ac:dyDescent="0.25">
      <c r="A485" s="9"/>
      <c r="B485" s="9"/>
      <c r="C485" s="9"/>
      <c r="D485" s="9"/>
      <c r="E485" s="9"/>
      <c r="F485" s="9"/>
      <c r="G485" s="9"/>
    </row>
    <row r="486" spans="1:7" x14ac:dyDescent="0.25">
      <c r="A486" s="9"/>
      <c r="B486" s="9"/>
      <c r="C486" s="9"/>
      <c r="D486" s="9"/>
      <c r="E486" s="9"/>
      <c r="F486" s="9"/>
      <c r="G486" s="9"/>
    </row>
    <row r="487" spans="1:7" x14ac:dyDescent="0.25">
      <c r="A487" s="9"/>
      <c r="B487" s="9"/>
      <c r="C487" s="9"/>
      <c r="D487" s="9"/>
      <c r="E487" s="9"/>
      <c r="F487" s="9"/>
      <c r="G487" s="9"/>
    </row>
    <row r="488" spans="1:7" x14ac:dyDescent="0.25">
      <c r="A488" s="9"/>
      <c r="B488" s="9"/>
      <c r="C488" s="9"/>
      <c r="D488" s="9"/>
      <c r="E488" s="9"/>
      <c r="F488" s="9"/>
      <c r="G488" s="9"/>
    </row>
    <row r="489" spans="1:7" x14ac:dyDescent="0.25">
      <c r="A489" s="9"/>
      <c r="B489" s="9"/>
      <c r="C489" s="9"/>
      <c r="D489" s="9"/>
      <c r="E489" s="9"/>
      <c r="F489" s="9"/>
      <c r="G489" s="9"/>
    </row>
    <row r="490" spans="1:7" x14ac:dyDescent="0.25">
      <c r="A490" s="9"/>
      <c r="B490" s="9"/>
      <c r="C490" s="9"/>
      <c r="D490" s="9"/>
      <c r="E490" s="9"/>
      <c r="F490" s="9"/>
      <c r="G490" s="9"/>
    </row>
    <row r="491" spans="1:7" x14ac:dyDescent="0.25">
      <c r="A491" s="9"/>
      <c r="B491" s="9"/>
      <c r="C491" s="9"/>
      <c r="D491" s="9"/>
      <c r="E491" s="9"/>
      <c r="F491" s="9"/>
      <c r="G491" s="9"/>
    </row>
    <row r="492" spans="1:7" x14ac:dyDescent="0.25">
      <c r="A492" s="9"/>
      <c r="B492" s="9"/>
      <c r="C492" s="9"/>
      <c r="D492" s="9"/>
      <c r="E492" s="9"/>
      <c r="F492" s="9"/>
      <c r="G492" s="9"/>
    </row>
    <row r="493" spans="1:7" x14ac:dyDescent="0.25">
      <c r="A493" s="9"/>
      <c r="B493" s="9"/>
      <c r="C493" s="9"/>
      <c r="D493" s="9"/>
      <c r="E493" s="9"/>
      <c r="F493" s="9"/>
      <c r="G493" s="9"/>
    </row>
    <row r="494" spans="1:7" x14ac:dyDescent="0.25">
      <c r="A494" s="9"/>
      <c r="B494" s="9"/>
      <c r="C494" s="9"/>
      <c r="D494" s="9"/>
      <c r="E494" s="9"/>
      <c r="F494" s="9"/>
      <c r="G494" s="9"/>
    </row>
    <row r="495" spans="1:7" x14ac:dyDescent="0.25">
      <c r="A495" s="9"/>
      <c r="B495" s="9"/>
      <c r="C495" s="9"/>
      <c r="D495" s="9"/>
      <c r="E495" s="9"/>
      <c r="F495" s="9"/>
      <c r="G495" s="9"/>
    </row>
    <row r="496" spans="1:7" x14ac:dyDescent="0.25">
      <c r="A496" s="9"/>
      <c r="B496" s="9"/>
      <c r="C496" s="9"/>
      <c r="D496" s="9"/>
      <c r="E496" s="9"/>
      <c r="F496" s="9"/>
      <c r="G496" s="9"/>
    </row>
    <row r="497" spans="1:7" x14ac:dyDescent="0.25">
      <c r="A497" s="9"/>
      <c r="B497" s="9"/>
      <c r="C497" s="9"/>
      <c r="D497" s="9"/>
      <c r="E497" s="9"/>
      <c r="F497" s="9"/>
      <c r="G497" s="9"/>
    </row>
    <row r="498" spans="1:7" x14ac:dyDescent="0.25">
      <c r="A498" s="9"/>
      <c r="B498" s="9"/>
      <c r="C498" s="9"/>
      <c r="D498" s="9"/>
      <c r="E498" s="9"/>
      <c r="F498" s="9"/>
      <c r="G498" s="9"/>
    </row>
    <row r="499" spans="1:7" x14ac:dyDescent="0.25">
      <c r="A499" s="9"/>
      <c r="B499" s="9"/>
      <c r="C499" s="9"/>
      <c r="D499" s="9"/>
      <c r="E499" s="9"/>
      <c r="F499" s="9"/>
      <c r="G499" s="9"/>
    </row>
    <row r="500" spans="1:7" x14ac:dyDescent="0.25">
      <c r="A500" s="9"/>
      <c r="B500" s="9"/>
      <c r="C500" s="9"/>
      <c r="D500" s="9"/>
      <c r="E500" s="9"/>
      <c r="F500" s="9"/>
      <c r="G500" s="9"/>
    </row>
  </sheetData>
  <mergeCells count="1">
    <mergeCell ref="A1:G1"/>
  </mergeCells>
  <dataValidations count="1">
    <dataValidation type="list" allowBlank="1" showErrorMessage="1" errorTitle="Invalid entry" error="Please choose a value from the drop-down list." sqref="F3:F500" xr:uid="{00000000-0002-0000-06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 &amp;K008000 Classification: Internal#_x000D_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42"/>
  <sheetViews>
    <sheetView showGridLines="0" tabSelected="1" zoomScaleNormal="100" workbookViewId="0">
      <pane ySplit="4" topLeftCell="A47" activePane="bottomLeft" state="frozen"/>
      <selection pane="bottomLeft" activeCell="B15" sqref="B15:F15"/>
    </sheetView>
  </sheetViews>
  <sheetFormatPr defaultColWidth="8.5703125" defaultRowHeight="15" x14ac:dyDescent="0.25"/>
  <cols>
    <col min="1" max="1" width="4" customWidth="1"/>
    <col min="2" max="2" width="38" customWidth="1"/>
    <col min="3" max="3" width="16" customWidth="1"/>
    <col min="4" max="4" width="22" customWidth="1"/>
    <col min="5" max="5" width="16" customWidth="1"/>
    <col min="6" max="6" width="52" customWidth="1"/>
  </cols>
  <sheetData>
    <row r="2" spans="1:6" ht="18.95" customHeight="1" x14ac:dyDescent="0.3">
      <c r="B2" s="28" t="s">
        <v>1250</v>
      </c>
      <c r="C2" s="23"/>
      <c r="D2" s="23"/>
      <c r="E2" s="23"/>
      <c r="F2" s="23"/>
    </row>
    <row r="4" spans="1:6" ht="30" customHeight="1" x14ac:dyDescent="0.25">
      <c r="B4" s="5" t="s">
        <v>1251</v>
      </c>
      <c r="C4" s="7">
        <f>AVERAGE(D8:D13,D17:D23,D27:D28)</f>
        <v>0.34047619047619049</v>
      </c>
      <c r="D4" s="10" t="str">
        <f>IF(C4&gt;=0.85,"Ready",IF(C4&gt;=0.5,"Partial — Gaps Remain","Not Ready"))</f>
        <v>Not Ready</v>
      </c>
      <c r="F4" s="11" t="s">
        <v>1252</v>
      </c>
    </row>
    <row r="6" spans="1:6" x14ac:dyDescent="0.25">
      <c r="B6" s="27" t="s">
        <v>1253</v>
      </c>
      <c r="C6" s="23"/>
      <c r="D6" s="23"/>
      <c r="E6" s="23"/>
      <c r="F6" s="23"/>
    </row>
    <row r="7" spans="1:6" x14ac:dyDescent="0.25">
      <c r="A7" s="4" t="s">
        <v>8</v>
      </c>
      <c r="B7" s="4" t="s">
        <v>1254</v>
      </c>
      <c r="C7" s="4" t="s">
        <v>1255</v>
      </c>
      <c r="D7" s="4" t="s">
        <v>1256</v>
      </c>
      <c r="E7" s="4" t="s">
        <v>1015</v>
      </c>
      <c r="F7" s="4" t="s">
        <v>1257</v>
      </c>
    </row>
    <row r="8" spans="1:6" ht="30" customHeight="1" x14ac:dyDescent="0.25">
      <c r="A8" s="12">
        <v>1</v>
      </c>
      <c r="B8" s="9" t="s">
        <v>181</v>
      </c>
      <c r="C8" s="9" t="s">
        <v>1258</v>
      </c>
      <c r="D8" s="13">
        <f>IFERROR(COUNTA('SBOM Components'!$D$3:$D$500)/COUNTA('SBOM Components'!$B$3:$B$500),0)</f>
        <v>1</v>
      </c>
      <c r="E8" s="14" t="str">
        <f t="shared" ref="E8:E13" si="0">IF(D8&gt;=0.95,"Complete",IF(D8&gt;0,"Partial","Missing"))</f>
        <v>Complete</v>
      </c>
      <c r="F8" s="9" t="s">
        <v>1259</v>
      </c>
    </row>
    <row r="9" spans="1:6" ht="30" customHeight="1" x14ac:dyDescent="0.25">
      <c r="A9" s="12">
        <v>2</v>
      </c>
      <c r="B9" s="9" t="s">
        <v>10</v>
      </c>
      <c r="C9" s="9" t="s">
        <v>1258</v>
      </c>
      <c r="D9" s="13">
        <f>IFERROR(COUNTA('SBOM Components'!$C$3:$C$500)/COUNTA('SBOM Components'!$B$3:$B$500),0)</f>
        <v>0.9285714285714286</v>
      </c>
      <c r="E9" s="14" t="str">
        <f t="shared" si="0"/>
        <v>Partial</v>
      </c>
      <c r="F9" s="9" t="s">
        <v>1260</v>
      </c>
    </row>
    <row r="10" spans="1:6" ht="30" customHeight="1" x14ac:dyDescent="0.25">
      <c r="A10" s="12">
        <v>3</v>
      </c>
      <c r="B10" s="9" t="s">
        <v>1261</v>
      </c>
      <c r="C10" s="9" t="s">
        <v>1258</v>
      </c>
      <c r="D10" s="13">
        <f>IFERROR(COUNTA('SBOM Components'!$F$3:$F$500)/COUNTA('SBOM Components'!$B$3:$B$500),0)</f>
        <v>1</v>
      </c>
      <c r="E10" s="14" t="str">
        <f t="shared" si="0"/>
        <v>Complete</v>
      </c>
      <c r="F10" s="9" t="s">
        <v>1262</v>
      </c>
    </row>
    <row r="11" spans="1:6" ht="30" customHeight="1" x14ac:dyDescent="0.25">
      <c r="A11" s="12">
        <v>4</v>
      </c>
      <c r="B11" s="9" t="s">
        <v>1263</v>
      </c>
      <c r="C11" s="9" t="s">
        <v>1258</v>
      </c>
      <c r="D11" s="13">
        <f>IFERROR(COUNTA('SBOM Components'!$G$3:$G$500)/COUNTA('SBOM Components'!$B$3:$B$500),0)</f>
        <v>0</v>
      </c>
      <c r="E11" s="14" t="str">
        <f t="shared" si="0"/>
        <v>Missing</v>
      </c>
      <c r="F11" s="9" t="s">
        <v>1264</v>
      </c>
    </row>
    <row r="12" spans="1:6" ht="30" customHeight="1" x14ac:dyDescent="0.25">
      <c r="A12" s="12">
        <v>5</v>
      </c>
      <c r="B12" s="9" t="s">
        <v>1265</v>
      </c>
      <c r="C12" s="9" t="s">
        <v>1258</v>
      </c>
      <c r="D12" s="13">
        <f>IF('SBOM Metadata'!$C$18&lt;&gt;"",1,0)</f>
        <v>0</v>
      </c>
      <c r="E12" s="14" t="str">
        <f t="shared" si="0"/>
        <v>Missing</v>
      </c>
      <c r="F12" s="9" t="s">
        <v>1266</v>
      </c>
    </row>
    <row r="13" spans="1:6" ht="30" customHeight="1" x14ac:dyDescent="0.25">
      <c r="A13" s="12">
        <v>6</v>
      </c>
      <c r="B13" s="9" t="s">
        <v>1267</v>
      </c>
      <c r="C13" s="9" t="s">
        <v>1258</v>
      </c>
      <c r="D13" s="13">
        <f>IF('SBOM Metadata'!$C$19&lt;&gt;"",1,0)</f>
        <v>1</v>
      </c>
      <c r="E13" s="14" t="str">
        <f t="shared" si="0"/>
        <v>Complete</v>
      </c>
      <c r="F13" s="9" t="s">
        <v>1268</v>
      </c>
    </row>
    <row r="15" spans="1:6" x14ac:dyDescent="0.25">
      <c r="B15" s="27" t="s">
        <v>1269</v>
      </c>
      <c r="C15" s="23"/>
      <c r="D15" s="23"/>
      <c r="E15" s="23"/>
      <c r="F15" s="23"/>
    </row>
    <row r="16" spans="1:6" x14ac:dyDescent="0.25">
      <c r="A16" s="4" t="s">
        <v>8</v>
      </c>
      <c r="B16" s="4" t="s">
        <v>1254</v>
      </c>
      <c r="C16" s="4" t="s">
        <v>1255</v>
      </c>
      <c r="D16" s="4" t="s">
        <v>1256</v>
      </c>
      <c r="E16" s="4" t="s">
        <v>1015</v>
      </c>
      <c r="F16" s="4" t="s">
        <v>1257</v>
      </c>
    </row>
    <row r="17" spans="1:6" ht="30" customHeight="1" x14ac:dyDescent="0.25">
      <c r="A17" s="12">
        <v>1</v>
      </c>
      <c r="B17" s="9" t="s">
        <v>27</v>
      </c>
      <c r="C17" s="9" t="s">
        <v>1270</v>
      </c>
      <c r="D17" s="13">
        <f>IFERROR(COUNTA('SBOM Components'!$T$3:$T$500)/COUNTA('SBOM Components'!$B$3:$B$500),0)</f>
        <v>0</v>
      </c>
      <c r="E17" s="14" t="str">
        <f t="shared" ref="E17:E23" si="1">IF(D17&gt;=0.95,"Complete",IF(D17&gt;0,"Partial","Missing"))</f>
        <v>Missing</v>
      </c>
      <c r="F17" s="9" t="s">
        <v>1271</v>
      </c>
    </row>
    <row r="18" spans="1:6" ht="30" customHeight="1" x14ac:dyDescent="0.25">
      <c r="A18" s="12">
        <v>2</v>
      </c>
      <c r="B18" s="9" t="s">
        <v>28</v>
      </c>
      <c r="C18" s="9" t="s">
        <v>1272</v>
      </c>
      <c r="D18" s="13">
        <f>IFERROR(COUNTA('SBOM Components'!$U$3:$U$500)/COUNTA('SBOM Components'!$B$3:$B$500),0)</f>
        <v>0</v>
      </c>
      <c r="E18" s="14" t="str">
        <f t="shared" si="1"/>
        <v>Missing</v>
      </c>
      <c r="F18" s="9" t="s">
        <v>1273</v>
      </c>
    </row>
    <row r="19" spans="1:6" ht="30" customHeight="1" x14ac:dyDescent="0.25">
      <c r="A19" s="12">
        <v>3</v>
      </c>
      <c r="B19" s="9" t="s">
        <v>1274</v>
      </c>
      <c r="C19" s="9" t="s">
        <v>1270</v>
      </c>
      <c r="D19" s="13">
        <f>IFERROR((COUNTA('SBOM Components'!$S$3:$S$500)-COUNTIF('SBOM Components'!$S$3:$S$500,"Unknown"))/COUNTA('SBOM Components'!$B$3:$B$500),0)</f>
        <v>0</v>
      </c>
      <c r="E19" s="14" t="str">
        <f t="shared" si="1"/>
        <v>Missing</v>
      </c>
      <c r="F19" s="9" t="s">
        <v>1275</v>
      </c>
    </row>
    <row r="20" spans="1:6" ht="30" customHeight="1" x14ac:dyDescent="0.25">
      <c r="A20" s="12">
        <v>4</v>
      </c>
      <c r="B20" s="9" t="s">
        <v>1276</v>
      </c>
      <c r="C20" s="9" t="s">
        <v>1277</v>
      </c>
      <c r="D20" s="13">
        <f>IFERROR(COUNTA('SBOM Components'!$X$3:$X$500)/COUNTA('SBOM Components'!$B$3:$B$500),0)</f>
        <v>0.17857142857142858</v>
      </c>
      <c r="E20" s="14" t="str">
        <f t="shared" si="1"/>
        <v>Partial</v>
      </c>
      <c r="F20" s="9" t="s">
        <v>1278</v>
      </c>
    </row>
    <row r="21" spans="1:6" ht="30" customHeight="1" x14ac:dyDescent="0.25">
      <c r="A21" s="12">
        <v>5</v>
      </c>
      <c r="B21" s="9" t="s">
        <v>1279</v>
      </c>
      <c r="C21" s="9" t="s">
        <v>1277</v>
      </c>
      <c r="D21" s="13">
        <f>IFERROR((COUNTA('Vulnerabilities &amp; VEX'!$D$3:$D$500)-COUNTIF('Vulnerabilities &amp; VEX'!$K$3:$K$500,"Under Investigation"))/COUNTA('Vulnerabilities &amp; VEX'!$D$3:$D$500),0)</f>
        <v>0</v>
      </c>
      <c r="E21" s="14" t="str">
        <f t="shared" si="1"/>
        <v>Missing</v>
      </c>
      <c r="F21" s="9" t="s">
        <v>1280</v>
      </c>
    </row>
    <row r="22" spans="1:6" ht="30" customHeight="1" x14ac:dyDescent="0.25">
      <c r="A22" s="12">
        <v>6</v>
      </c>
      <c r="B22" s="9" t="s">
        <v>1281</v>
      </c>
      <c r="C22" s="9" t="s">
        <v>1282</v>
      </c>
      <c r="D22" s="13">
        <f>IFERROR(COUNTA('SBOM Components'!$Z$3:$Z$500)/COUNTA('SBOM Components'!$B$3:$B$500),0)</f>
        <v>0</v>
      </c>
      <c r="E22" s="14" t="str">
        <f t="shared" si="1"/>
        <v>Missing</v>
      </c>
      <c r="F22" s="9" t="s">
        <v>1283</v>
      </c>
    </row>
    <row r="23" spans="1:6" ht="30" customHeight="1" x14ac:dyDescent="0.25">
      <c r="A23" s="12">
        <v>7</v>
      </c>
      <c r="B23" s="9" t="s">
        <v>1284</v>
      </c>
      <c r="C23" s="9" t="s">
        <v>1282</v>
      </c>
      <c r="D23" s="13">
        <f>IFERROR(COUNTA('SBOM Components'!$AA$3:$AA$500)/COUNTA('SBOM Components'!$B$3:$B$500),0)</f>
        <v>0</v>
      </c>
      <c r="E23" s="14" t="str">
        <f t="shared" si="1"/>
        <v>Missing</v>
      </c>
      <c r="F23" s="9" t="s">
        <v>1285</v>
      </c>
    </row>
    <row r="25" spans="1:6" x14ac:dyDescent="0.25">
      <c r="B25" s="27" t="s">
        <v>1286</v>
      </c>
      <c r="C25" s="23"/>
      <c r="D25" s="23"/>
      <c r="E25" s="23"/>
      <c r="F25" s="23"/>
    </row>
    <row r="26" spans="1:6" x14ac:dyDescent="0.25">
      <c r="A26" s="4" t="s">
        <v>8</v>
      </c>
      <c r="B26" s="4" t="s">
        <v>1254</v>
      </c>
      <c r="C26" s="4" t="s">
        <v>1255</v>
      </c>
      <c r="D26" s="4" t="s">
        <v>1256</v>
      </c>
      <c r="E26" s="4" t="s">
        <v>1015</v>
      </c>
      <c r="F26" s="4" t="s">
        <v>1257</v>
      </c>
    </row>
    <row r="27" spans="1:6" ht="30" customHeight="1" x14ac:dyDescent="0.25">
      <c r="A27" s="12">
        <v>1</v>
      </c>
      <c r="B27" s="9" t="s">
        <v>1287</v>
      </c>
      <c r="C27" s="9" t="s">
        <v>1288</v>
      </c>
      <c r="D27" s="13">
        <f>IF(COUNTA('Environment &amp; 3rd-Party Deps'!$C$3:$C$500)&gt;0,1,0)</f>
        <v>1</v>
      </c>
      <c r="E27" s="14" t="str">
        <f>IF(D27&gt;=0.95,"Complete",IF(D27&gt;0,"Partial","Missing"))</f>
        <v>Complete</v>
      </c>
      <c r="F27" s="9" t="s">
        <v>1289</v>
      </c>
    </row>
    <row r="28" spans="1:6" ht="30" customHeight="1" x14ac:dyDescent="0.25">
      <c r="A28" s="12">
        <v>2</v>
      </c>
      <c r="B28" s="9" t="s">
        <v>1290</v>
      </c>
      <c r="C28" s="9" t="s">
        <v>1291</v>
      </c>
      <c r="D28" s="13">
        <f>IF(COUNTA('Supplier &amp; Security Contacts'!$B$3:$B$500)&gt;0,1,0)</f>
        <v>0</v>
      </c>
      <c r="E28" s="14" t="str">
        <f>IF(D28&gt;=0.95,"Complete",IF(D28&gt;0,"Partial","Missing"))</f>
        <v>Missing</v>
      </c>
      <c r="F28" s="9" t="s">
        <v>1292</v>
      </c>
    </row>
    <row r="31" spans="1:6" x14ac:dyDescent="0.25">
      <c r="B31" s="27" t="s">
        <v>1293</v>
      </c>
      <c r="C31" s="23"/>
      <c r="D31" s="23"/>
      <c r="E31" s="23"/>
      <c r="F31" s="23"/>
    </row>
    <row r="32" spans="1:6" ht="15" customHeight="1" x14ac:dyDescent="0.25">
      <c r="B32" s="4" t="s">
        <v>1294</v>
      </c>
      <c r="C32" s="4" t="s">
        <v>1295</v>
      </c>
      <c r="D32" s="30" t="s">
        <v>6</v>
      </c>
      <c r="E32" s="20"/>
      <c r="F32" s="20"/>
    </row>
    <row r="33" spans="2:6" x14ac:dyDescent="0.25">
      <c r="B33" s="5" t="s">
        <v>264</v>
      </c>
      <c r="C33" s="15">
        <f>'SBOM Components'!$AF$1</f>
        <v>28</v>
      </c>
      <c r="D33" s="29"/>
      <c r="E33" s="20"/>
      <c r="F33" s="20"/>
    </row>
    <row r="34" spans="2:6" x14ac:dyDescent="0.25">
      <c r="B34" s="5" t="s">
        <v>265</v>
      </c>
      <c r="C34" s="15">
        <f ca="1">'SBOM Components'!$AF$2</f>
        <v>0</v>
      </c>
      <c r="D34" s="29"/>
      <c r="E34" s="20"/>
      <c r="F34" s="20"/>
    </row>
    <row r="35" spans="2:6" x14ac:dyDescent="0.25">
      <c r="B35" s="5" t="s">
        <v>266</v>
      </c>
      <c r="C35" s="15">
        <f ca="1">'SBOM Components'!$AF$3</f>
        <v>0</v>
      </c>
      <c r="D35" s="29"/>
      <c r="E35" s="20"/>
      <c r="F35" s="20"/>
    </row>
    <row r="36" spans="2:6" ht="26.1" customHeight="1" x14ac:dyDescent="0.25">
      <c r="B36" s="5" t="s">
        <v>1296</v>
      </c>
      <c r="C36" s="15">
        <f>'SBOM Components'!$AF$4</f>
        <v>28</v>
      </c>
      <c r="D36" s="29"/>
      <c r="E36" s="20"/>
      <c r="F36" s="20"/>
    </row>
    <row r="37" spans="2:6" x14ac:dyDescent="0.25">
      <c r="B37" s="5" t="s">
        <v>268</v>
      </c>
      <c r="C37" s="15">
        <f>'Vulnerabilities &amp; VEX'!$V$1</f>
        <v>120</v>
      </c>
      <c r="D37" s="29"/>
      <c r="E37" s="20"/>
      <c r="F37" s="20"/>
    </row>
    <row r="38" spans="2:6" x14ac:dyDescent="0.25">
      <c r="B38" s="5" t="s">
        <v>269</v>
      </c>
      <c r="C38" s="15">
        <f>'Vulnerabilities &amp; VEX'!$V$2</f>
        <v>14</v>
      </c>
      <c r="D38" s="29"/>
      <c r="E38" s="20"/>
      <c r="F38" s="20"/>
    </row>
    <row r="39" spans="2:6" ht="25.5" x14ac:dyDescent="0.25">
      <c r="B39" s="5" t="s">
        <v>1297</v>
      </c>
      <c r="C39" s="15">
        <f>'Vulnerabilities &amp; VEX'!$V$3</f>
        <v>120</v>
      </c>
      <c r="D39" s="29"/>
      <c r="E39" s="20"/>
      <c r="F39" s="20"/>
    </row>
    <row r="40" spans="2:6" x14ac:dyDescent="0.25">
      <c r="B40" s="5" t="s">
        <v>1298</v>
      </c>
      <c r="C40" s="15">
        <f>'Vulnerabilities &amp; VEX'!$V$4</f>
        <v>120</v>
      </c>
      <c r="D40" s="29"/>
      <c r="E40" s="20"/>
      <c r="F40" s="20"/>
    </row>
    <row r="41" spans="2:6" ht="26.1" customHeight="1" x14ac:dyDescent="0.25">
      <c r="B41" s="5" t="s">
        <v>1299</v>
      </c>
      <c r="C41" s="15">
        <f>'Vulnerabilities &amp; VEX'!$V$5</f>
        <v>119</v>
      </c>
      <c r="D41" s="29"/>
      <c r="E41" s="20"/>
      <c r="F41" s="20"/>
    </row>
    <row r="42" spans="2:6" ht="26.1" customHeight="1" x14ac:dyDescent="0.25">
      <c r="B42" s="5" t="s">
        <v>1300</v>
      </c>
      <c r="C42" s="15">
        <f>'Vulnerabilities &amp; VEX'!$V$6</f>
        <v>120</v>
      </c>
      <c r="D42" s="29"/>
      <c r="E42" s="20"/>
      <c r="F42" s="20"/>
    </row>
  </sheetData>
  <mergeCells count="16">
    <mergeCell ref="D42:F42"/>
    <mergeCell ref="D38:F38"/>
    <mergeCell ref="B6:F6"/>
    <mergeCell ref="B2:F2"/>
    <mergeCell ref="D37:F37"/>
    <mergeCell ref="B15:F15"/>
    <mergeCell ref="D41:F41"/>
    <mergeCell ref="B25:F25"/>
    <mergeCell ref="D32:F32"/>
    <mergeCell ref="D40:F40"/>
    <mergeCell ref="D35:F35"/>
    <mergeCell ref="D36:F36"/>
    <mergeCell ref="B31:F31"/>
    <mergeCell ref="D39:F39"/>
    <mergeCell ref="D33:F33"/>
    <mergeCell ref="D34:F34"/>
  </mergeCells>
  <conditionalFormatting sqref="D4">
    <cfRule type="expression" dxfId="23" priority="2">
      <formula>D4="Complete"</formula>
    </cfRule>
    <cfRule type="expression" dxfId="22" priority="3">
      <formula>D4="Ready"</formula>
    </cfRule>
    <cfRule type="expression" dxfId="21" priority="4">
      <formula>D4="Partial"</formula>
    </cfRule>
    <cfRule type="expression" dxfId="20" priority="5">
      <formula>D4="Partial — Gaps Remain"</formula>
    </cfRule>
    <cfRule type="expression" dxfId="19" priority="6">
      <formula>D4="Missing"</formula>
    </cfRule>
    <cfRule type="expression" dxfId="18" priority="7">
      <formula>D4="Not Ready"</formula>
    </cfRule>
  </conditionalFormatting>
  <conditionalFormatting sqref="E8:E13">
    <cfRule type="expression" dxfId="17" priority="8">
      <formula>E8="Complete"</formula>
    </cfRule>
    <cfRule type="expression" dxfId="16" priority="9">
      <formula>E8="Ready"</formula>
    </cfRule>
    <cfRule type="expression" dxfId="15" priority="10">
      <formula>E8="Partial"</formula>
    </cfRule>
    <cfRule type="expression" dxfId="14" priority="11">
      <formula>E8="Partial — Gaps Remain"</formula>
    </cfRule>
    <cfRule type="expression" dxfId="13" priority="12">
      <formula>E8="Missing"</formula>
    </cfRule>
    <cfRule type="expression" dxfId="12" priority="13">
      <formula>E8="Not Ready"</formula>
    </cfRule>
  </conditionalFormatting>
  <conditionalFormatting sqref="E17:E23">
    <cfRule type="expression" dxfId="11" priority="14">
      <formula>E17="Complete"</formula>
    </cfRule>
    <cfRule type="expression" dxfId="10" priority="15">
      <formula>E17="Ready"</formula>
    </cfRule>
    <cfRule type="expression" dxfId="9" priority="16">
      <formula>E17="Partial"</formula>
    </cfRule>
    <cfRule type="expression" dxfId="8" priority="17">
      <formula>E17="Partial — Gaps Remain"</formula>
    </cfRule>
    <cfRule type="expression" dxfId="7" priority="18">
      <formula>E17="Missing"</formula>
    </cfRule>
    <cfRule type="expression" dxfId="6" priority="19">
      <formula>E17="Not Ready"</formula>
    </cfRule>
  </conditionalFormatting>
  <conditionalFormatting sqref="E27:E28">
    <cfRule type="expression" dxfId="5" priority="20">
      <formula>E27="Complete"</formula>
    </cfRule>
    <cfRule type="expression" dxfId="4" priority="21">
      <formula>E27="Ready"</formula>
    </cfRule>
    <cfRule type="expression" dxfId="3" priority="22">
      <formula>E27="Partial"</formula>
    </cfRule>
    <cfRule type="expression" dxfId="2" priority="23">
      <formula>E27="Partial — Gaps Remain"</formula>
    </cfRule>
    <cfRule type="expression" dxfId="1" priority="24">
      <formula>E27="Missing"</formula>
    </cfRule>
    <cfRule type="expression" dxfId="0" priority="25">
      <formula>E27="Not Ready"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Header>&amp;L&amp;"Aptos"&amp;1 &amp;K008000 Classification: Internal#_x000D_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SBOM Metadata</vt:lpstr>
      <vt:lpstr>SBOM Components</vt:lpstr>
      <vt:lpstr>Environment &amp; 3rd-Party Deps</vt:lpstr>
      <vt:lpstr>Vulnerabilities &amp; VEX</vt:lpstr>
      <vt:lpstr>Lifecycle &amp; Support Plan</vt:lpstr>
      <vt:lpstr>Supplier &amp; Security Contacts</vt:lpstr>
      <vt:lpstr>FDA Compliance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Feroze Basha S</cp:lastModifiedBy>
  <cp:revision>0</cp:revision>
  <dcterms:created xsi:type="dcterms:W3CDTF">2026-09-02T10:38:34Z</dcterms:created>
  <dcterms:modified xsi:type="dcterms:W3CDTF">2026-09-08T07:43:58Z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2026-09-02T10:57:35Z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1a984177-8a94-4229-8797-0276e4bc58f9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10, 3, 0, 1</vt:lpwstr>
  </property>
</Properties>
</file>